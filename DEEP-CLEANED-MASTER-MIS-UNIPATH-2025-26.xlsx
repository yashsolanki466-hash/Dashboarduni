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Invoice" sheetId="4" state="visible" r:id="rId4"/>
    <sheet xmlns:r="http://schemas.openxmlformats.org/officeDocument/2006/relationships" name="Raw &amp; Final " sheetId="5" state="visible" r:id="rId5"/>
    <sheet xmlns:r="http://schemas.openxmlformats.org/officeDocument/2006/relationships" name="MIS-25-26" sheetId="6" state="visible" r:id="rId6"/>
    <sheet xmlns:r="http://schemas.openxmlformats.org/officeDocument/2006/relationships" name="MARCH-25" sheetId="7" state="visible" r:id="rId7"/>
    <sheet xmlns:r="http://schemas.openxmlformats.org/officeDocument/2006/relationships" name="Integrity 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003366"/>
      <sz val="18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2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30" customWidth="1" min="2" max="2"/>
    <col width="25" customWidth="1" min="3" max="3"/>
  </cols>
  <sheetData>
    <row r="2">
      <c r="B2" s="6" t="inlineStr">
        <is>
          <t>MIS PROJECT DASHBOARD 2025-26</t>
        </is>
      </c>
    </row>
    <row r="5">
      <c r="B5" s="7" t="inlineStr">
        <is>
          <t>Total Projects</t>
        </is>
      </c>
      <c r="C5" s="8">
        <f>COUNTA('Data'!B:B)-1</f>
        <v/>
      </c>
    </row>
    <row r="6">
      <c r="B6" s="7" t="inlineStr">
        <is>
          <t>Total Revenue (INR)</t>
        </is>
      </c>
      <c r="C6" s="9">
        <f>SUM('Data'!V:V)</f>
        <v/>
      </c>
    </row>
    <row r="7">
      <c r="B7" s="7" t="inlineStr">
        <is>
          <t>Total Received (INR)</t>
        </is>
      </c>
      <c r="C7" s="9">
        <f>SUM('Data'!AO:AO)</f>
        <v/>
      </c>
    </row>
    <row r="8">
      <c r="B8" s="7" t="inlineStr">
        <is>
          <t>Outstanding Balance (INR)</t>
        </is>
      </c>
      <c r="C8" s="9">
        <f>SUM('Data'!AP:AP)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2" t="inlineStr">
        <is>
          <t>EXECUTIVE SUMMARY - MIS 2025-26</t>
        </is>
      </c>
      <c r="B1" s="2" t="inlineStr">
        <is>
          <t>Unnamed: 1</t>
        </is>
      </c>
    </row>
    <row r="2">
      <c r="A2" s="3" t="inlineStr"/>
      <c r="B2" s="3" t="inlineStr"/>
    </row>
    <row r="3">
      <c r="A3" s="3" t="inlineStr">
        <is>
          <t>Metric</t>
        </is>
      </c>
      <c r="B3" s="3" t="inlineStr">
        <is>
          <t>Value</t>
        </is>
      </c>
    </row>
    <row r="4">
      <c r="A4" s="3" t="inlineStr">
        <is>
          <t>Total Projects</t>
        </is>
      </c>
      <c r="B4" s="3" t="inlineStr"/>
    </row>
    <row r="5">
      <c r="A5" s="3" t="inlineStr">
        <is>
          <t>Total Project Value</t>
        </is>
      </c>
      <c r="B5" s="3" t="inlineStr"/>
    </row>
    <row r="6">
      <c r="A6" s="3" t="inlineStr">
        <is>
          <t>Total Payment Received</t>
        </is>
      </c>
      <c r="B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1" customWidth="1" min="3" max="3"/>
    <col width="16" customWidth="1" min="4" max="4"/>
    <col width="29" customWidth="1" min="5" max="5"/>
    <col width="32" customWidth="1" min="6" max="6"/>
    <col width="46" customWidth="1" min="7" max="7"/>
    <col width="46" customWidth="1" min="8" max="8"/>
    <col width="50" customWidth="1" min="9" max="9"/>
    <col width="25" customWidth="1" min="10" max="10"/>
    <col width="50" customWidth="1" min="11" max="11"/>
    <col width="38" customWidth="1" min="12" max="12"/>
    <col width="22" customWidth="1" min="13" max="13"/>
    <col width="23" customWidth="1" min="14" max="14"/>
    <col width="14" customWidth="1" min="15" max="15"/>
    <col width="45" customWidth="1" min="16" max="16"/>
    <col width="16" customWidth="1" min="17" max="17"/>
    <col width="22" customWidth="1" min="18" max="18"/>
    <col width="17" customWidth="1" min="19" max="19"/>
    <col width="9" customWidth="1" min="20" max="20"/>
    <col width="19" customWidth="1" min="21" max="21"/>
    <col width="20" customWidth="1" min="22" max="22"/>
    <col width="23" customWidth="1" min="23" max="23"/>
    <col width="15" customWidth="1" min="24" max="24"/>
    <col width="16" customWidth="1" min="25" max="25"/>
    <col width="20" customWidth="1" min="26" max="26"/>
    <col width="9" customWidth="1" min="27" max="27"/>
    <col width="9" customWidth="1" min="28" max="28"/>
    <col width="25" customWidth="1" min="29" max="29"/>
    <col width="15" customWidth="1" min="30" max="30"/>
    <col width="50" customWidth="1" min="31" max="31"/>
    <col width="21" customWidth="1" min="32" max="32"/>
    <col width="26" customWidth="1" min="33" max="33"/>
    <col width="18" customWidth="1" min="34" max="34"/>
    <col width="21" customWidth="1" min="35" max="35"/>
    <col width="19" customWidth="1" min="36" max="36"/>
    <col width="25" customWidth="1" min="37" max="37"/>
    <col width="19" customWidth="1" min="38" max="38"/>
    <col width="22" customWidth="1" min="39" max="39"/>
    <col width="13" customWidth="1" min="40" max="40"/>
    <col width="18" customWidth="1" min="41" max="41"/>
    <col width="21" customWidth="1" min="42" max="42"/>
    <col width="23" customWidth="1" min="43" max="43"/>
  </cols>
  <sheetData>
    <row r="1">
      <c r="A1" s="2" t="inlineStr">
        <is>
          <t>SR. NO.</t>
        </is>
      </c>
      <c r="B1" s="2" t="inlineStr">
        <is>
          <t>PROJECT ID</t>
        </is>
      </c>
      <c r="C1" s="2" t="inlineStr">
        <is>
          <t>DATE</t>
        </is>
      </c>
      <c r="D1" s="2" t="inlineStr">
        <is>
          <t>Month</t>
        </is>
      </c>
      <c r="E1" s="2" t="inlineStr">
        <is>
          <t>Lab Process Submission Date</t>
        </is>
      </c>
      <c r="F1" s="2" t="inlineStr">
        <is>
          <t>SCIENTIST NAME</t>
        </is>
      </c>
      <c r="G1" s="2" t="inlineStr">
        <is>
          <t>INSTITUTE</t>
        </is>
      </c>
      <c r="H1" s="2" t="inlineStr">
        <is>
          <t>BILLING</t>
        </is>
      </c>
      <c r="I1" s="2" t="inlineStr">
        <is>
          <t>MAIL ID</t>
        </is>
      </c>
      <c r="J1" s="2" t="inlineStr">
        <is>
          <t>CONTACT NO.</t>
        </is>
      </c>
      <c r="K1" s="2" t="inlineStr">
        <is>
          <t>SERVICE NAME</t>
        </is>
      </c>
      <c r="L1" s="2" t="inlineStr">
        <is>
          <t>Sample Type</t>
        </is>
      </c>
      <c r="M1" s="2" t="inlineStr">
        <is>
          <t>SERVICE HEAD</t>
        </is>
      </c>
      <c r="N1" s="2" t="inlineStr">
        <is>
          <t>With/Without Analysis</t>
        </is>
      </c>
      <c r="O1" s="2" t="inlineStr">
        <is>
          <t>NO OF SAMPLE</t>
        </is>
      </c>
      <c r="P1" s="2" t="inlineStr">
        <is>
          <t>Data Requirement:</t>
        </is>
      </c>
      <c r="Q1" s="2" t="inlineStr">
        <is>
          <t>GB DATA OUTPUT</t>
        </is>
      </c>
      <c r="R1" s="2" t="inlineStr">
        <is>
          <t>TOTAL GB DATA OUTPUT</t>
        </is>
      </c>
      <c r="S1" s="2" t="inlineStr">
        <is>
          <t>RATE PER SAMPLE</t>
        </is>
      </c>
      <c r="T1" s="2" t="inlineStr">
        <is>
          <t>TOTAL</t>
        </is>
      </c>
      <c r="U1" s="2" t="inlineStr">
        <is>
          <t>GST</t>
        </is>
      </c>
      <c r="V1" s="2" t="inlineStr">
        <is>
          <t>TOTAL PROJECT COST</t>
        </is>
      </c>
      <c r="W1" s="2" t="inlineStr">
        <is>
          <t>QUOTATION NO./GEM NO.</t>
        </is>
      </c>
      <c r="X1" s="2" t="inlineStr">
        <is>
          <t>SALES PERSON</t>
        </is>
      </c>
      <c r="Y1" s="2" t="inlineStr">
        <is>
          <t>TERRITORY NAME</t>
        </is>
      </c>
      <c r="Z1" s="2" t="inlineStr">
        <is>
          <t>CITY</t>
        </is>
      </c>
      <c r="AA1" s="2" t="inlineStr">
        <is>
          <t>QC Pass</t>
        </is>
      </c>
      <c r="AB1" s="2" t="inlineStr">
        <is>
          <t>QC Fail</t>
        </is>
      </c>
      <c r="AC1" s="2" t="inlineStr">
        <is>
          <t>QC Report Received Date</t>
        </is>
      </c>
      <c r="AD1" s="2" t="inlineStr">
        <is>
          <t>QC TAT Status</t>
        </is>
      </c>
      <c r="AE1" s="2" t="inlineStr">
        <is>
          <t>Run No</t>
        </is>
      </c>
      <c r="AF1" s="2" t="inlineStr">
        <is>
          <t>Raw Data Sent Date</t>
        </is>
      </c>
      <c r="AG1" s="2" t="inlineStr">
        <is>
          <t>Final Data Received Date</t>
        </is>
      </c>
      <c r="AH1" s="2" t="inlineStr">
        <is>
          <t>INVOICE NO.</t>
        </is>
      </c>
      <c r="AI1" s="2" t="inlineStr">
        <is>
          <t>INVOICE DATE .</t>
        </is>
      </c>
      <c r="AJ1" s="2" t="inlineStr">
        <is>
          <t>Remark</t>
        </is>
      </c>
      <c r="AK1" s="2" t="inlineStr">
        <is>
          <t>(QC Pass samples) TOTAL</t>
        </is>
      </c>
      <c r="AL1" s="2" t="inlineStr">
        <is>
          <t>GST.1</t>
        </is>
      </c>
      <c r="AM1" s="2" t="inlineStr">
        <is>
          <t>TOTAL PROJECT COST.1</t>
        </is>
      </c>
      <c r="AN1" s="2" t="inlineStr">
        <is>
          <t>Invoice TAT</t>
        </is>
      </c>
      <c r="AO1" s="2" t="inlineStr">
        <is>
          <t>Received Payment</t>
        </is>
      </c>
      <c r="AP1" s="2" t="inlineStr">
        <is>
          <t>Remaining payment</t>
        </is>
      </c>
      <c r="AQ1" s="2" t="inlineStr">
        <is>
          <t>Payment Received Date</t>
        </is>
      </c>
    </row>
    <row r="2">
      <c r="A2" s="3" t="inlineStr">
        <is>
          <t>1</t>
        </is>
      </c>
      <c r="B2" s="3" t="inlineStr">
        <is>
          <t>NGS 26001</t>
        </is>
      </c>
      <c r="C2" s="4" t="n">
        <v>46024</v>
      </c>
      <c r="D2" s="3" t="inlineStr">
        <is>
          <t>January- 2026</t>
        </is>
      </c>
      <c r="E2" s="4" t="n">
        <v>46027</v>
      </c>
      <c r="F2" s="3" t="inlineStr">
        <is>
          <t>Abhishek Tripathi</t>
        </is>
      </c>
      <c r="G2" s="3" t="inlineStr">
        <is>
          <t>Novelgene Technology Private Limited</t>
        </is>
      </c>
      <c r="H2" s="3" t="inlineStr">
        <is>
          <t>Novelgene Technology Private Limited</t>
        </is>
      </c>
      <c r="I2" s="3" t="inlineStr">
        <is>
          <t>abhishek@novelgenetech.com</t>
        </is>
      </c>
      <c r="J2" s="3" t="inlineStr">
        <is>
          <t>89777 41872</t>
        </is>
      </c>
      <c r="K2" s="3" t="inlineStr">
        <is>
          <t>Transcriptome Sequencing On Illumina Novaseq X Plus Platform</t>
        </is>
      </c>
      <c r="L2" s="3" t="inlineStr">
        <is>
          <t>Leaf</t>
        </is>
      </c>
      <c r="M2" s="3" t="inlineStr">
        <is>
          <t>Wts Seq</t>
        </is>
      </c>
      <c r="N2" s="3" t="inlineStr">
        <is>
          <t xml:space="preserve">Without Analysis </t>
        </is>
      </c>
      <c r="O2" s="3" t="n">
        <v>12</v>
      </c>
      <c r="P2" s="3" t="inlineStr">
        <is>
          <t>6 GB/Sample</t>
        </is>
      </c>
      <c r="Q2" s="3" t="n">
        <v>6</v>
      </c>
      <c r="R2" s="3" t="n">
        <v>72</v>
      </c>
      <c r="S2" s="3" t="n">
        <v>9000</v>
      </c>
      <c r="T2" s="5" t="n">
        <v>108000</v>
      </c>
      <c r="U2" s="5" t="n">
        <v>19440</v>
      </c>
      <c r="V2" s="5" t="n">
        <v>127440</v>
      </c>
      <c r="W2" s="3" t="inlineStr">
        <is>
          <t>UG/NGS/TP/2512433</t>
        </is>
      </c>
      <c r="X2" s="3" t="inlineStr">
        <is>
          <t xml:space="preserve">Harsh </t>
        </is>
      </c>
      <c r="Y2" s="3" t="inlineStr">
        <is>
          <t>Telangana</t>
        </is>
      </c>
      <c r="Z2" s="3" t="inlineStr">
        <is>
          <t>Hyderabad</t>
        </is>
      </c>
      <c r="AA2" s="3" t="n">
        <v>12</v>
      </c>
      <c r="AB2" s="3" t="n">
        <v>0</v>
      </c>
      <c r="AC2" s="4" t="n">
        <v>46034</v>
      </c>
      <c r="AD2" s="3" t="n">
        <v>7</v>
      </c>
      <c r="AE2" s="3" t="inlineStr">
        <is>
          <t>103</t>
        </is>
      </c>
      <c r="AF2" s="4" t="n">
        <v>46065</v>
      </c>
      <c r="AG2" s="3" t="inlineStr"/>
      <c r="AH2" s="3" t="inlineStr">
        <is>
          <t>UPL/GEN/356/2526</t>
        </is>
      </c>
      <c r="AI2" s="4" t="n">
        <v>46093</v>
      </c>
      <c r="AJ2" s="3" t="inlineStr">
        <is>
          <t xml:space="preserve"> Project Closure</t>
        </is>
      </c>
      <c r="AK2" s="5" t="n">
        <v>108000</v>
      </c>
      <c r="AL2" s="5" t="n">
        <v>19440</v>
      </c>
      <c r="AM2" s="5" t="n">
        <v>127440</v>
      </c>
      <c r="AN2" s="3" t="n">
        <v>126</v>
      </c>
      <c r="AO2" s="5" t="n">
        <v>127440</v>
      </c>
      <c r="AP2" s="5" t="n">
        <v>0</v>
      </c>
      <c r="AQ2" s="3" t="inlineStr"/>
    </row>
    <row r="3">
      <c r="A3" s="3" t="inlineStr">
        <is>
          <t>2</t>
        </is>
      </c>
      <c r="B3" s="3" t="inlineStr">
        <is>
          <t>NGS 26002</t>
        </is>
      </c>
      <c r="C3" s="4" t="n">
        <v>46024</v>
      </c>
      <c r="D3" s="3" t="inlineStr">
        <is>
          <t>January- 2026</t>
        </is>
      </c>
      <c r="E3" s="4" t="n">
        <v>46027</v>
      </c>
      <c r="F3" s="3" t="inlineStr">
        <is>
          <t>Abhishek Tripathi</t>
        </is>
      </c>
      <c r="G3" s="3" t="inlineStr">
        <is>
          <t>Novelgene Technology Private Limited</t>
        </is>
      </c>
      <c r="H3" s="3" t="inlineStr">
        <is>
          <t>Novelgene Technology Private Limited</t>
        </is>
      </c>
      <c r="I3" s="3" t="inlineStr">
        <is>
          <t>abhishek@novelgenetech.com</t>
        </is>
      </c>
      <c r="J3" s="3" t="inlineStr">
        <is>
          <t>89777 41872</t>
        </is>
      </c>
      <c r="K3" s="3" t="inlineStr">
        <is>
          <t>Transcriptome Sequencing On Illumina Novaseq X Plus Platform</t>
        </is>
      </c>
      <c r="L3" s="3" t="inlineStr">
        <is>
          <t>Leaf</t>
        </is>
      </c>
      <c r="M3" s="3" t="inlineStr">
        <is>
          <t>Wts Seq</t>
        </is>
      </c>
      <c r="N3" s="3" t="inlineStr">
        <is>
          <t xml:space="preserve">Without Analysis </t>
        </is>
      </c>
      <c r="O3" s="3" t="n">
        <v>16</v>
      </c>
      <c r="P3" s="3" t="inlineStr">
        <is>
          <t>6 GB/Sample</t>
        </is>
      </c>
      <c r="Q3" s="3" t="n">
        <v>6</v>
      </c>
      <c r="R3" s="3" t="n">
        <v>96</v>
      </c>
      <c r="S3" s="3" t="n">
        <v>9000</v>
      </c>
      <c r="T3" s="5" t="n">
        <v>144000</v>
      </c>
      <c r="U3" s="5" t="n">
        <v>25920</v>
      </c>
      <c r="V3" s="5" t="n">
        <v>169920</v>
      </c>
      <c r="W3" s="3" t="inlineStr">
        <is>
          <t>UG/NGS/TP/2512435</t>
        </is>
      </c>
      <c r="X3" s="3" t="inlineStr">
        <is>
          <t xml:space="preserve">Harsh </t>
        </is>
      </c>
      <c r="Y3" s="3" t="inlineStr">
        <is>
          <t>Telangana</t>
        </is>
      </c>
      <c r="Z3" s="3" t="inlineStr">
        <is>
          <t>Hyderabad</t>
        </is>
      </c>
      <c r="AA3" s="3" t="n">
        <v>16</v>
      </c>
      <c r="AB3" s="3" t="n">
        <v>0</v>
      </c>
      <c r="AC3" s="4" t="n">
        <v>46034</v>
      </c>
      <c r="AD3" s="3" t="n">
        <v>7</v>
      </c>
      <c r="AE3" s="3" t="inlineStr">
        <is>
          <t>101 &amp; 103</t>
        </is>
      </c>
      <c r="AF3" s="4" t="n">
        <v>46065</v>
      </c>
      <c r="AG3" s="3" t="inlineStr"/>
      <c r="AH3" s="3" t="inlineStr">
        <is>
          <t>UPL/GEN/357/2526</t>
        </is>
      </c>
      <c r="AI3" s="4" t="n">
        <v>46093</v>
      </c>
      <c r="AJ3" s="3" t="inlineStr">
        <is>
          <t xml:space="preserve"> Project Closure</t>
        </is>
      </c>
      <c r="AK3" s="5" t="n">
        <v>144000</v>
      </c>
      <c r="AL3" s="5" t="n">
        <v>25920</v>
      </c>
      <c r="AM3" s="5" t="n">
        <v>169920</v>
      </c>
      <c r="AN3" s="3" t="n">
        <v>126</v>
      </c>
      <c r="AO3" s="5" t="n">
        <v>169920</v>
      </c>
      <c r="AP3" s="5" t="n">
        <v>0</v>
      </c>
      <c r="AQ3" s="3" t="inlineStr"/>
    </row>
    <row r="4">
      <c r="A4" s="3" t="inlineStr">
        <is>
          <t>3</t>
        </is>
      </c>
      <c r="B4" s="3" t="inlineStr">
        <is>
          <t>NGS 26003</t>
        </is>
      </c>
      <c r="C4" s="4" t="n">
        <v>46024</v>
      </c>
      <c r="D4" s="3" t="inlineStr">
        <is>
          <t>January- 2026</t>
        </is>
      </c>
      <c r="E4" s="4" t="n">
        <v>46027</v>
      </c>
      <c r="F4" s="3" t="inlineStr">
        <is>
          <t>Abhishek Tripathi</t>
        </is>
      </c>
      <c r="G4" s="3" t="inlineStr">
        <is>
          <t>Novelgene Technology Private Limited</t>
        </is>
      </c>
      <c r="H4" s="3" t="inlineStr">
        <is>
          <t>Novelgene Technology Private Limited</t>
        </is>
      </c>
      <c r="I4" s="3" t="inlineStr">
        <is>
          <t>abhishek@novelgenetech.com</t>
        </is>
      </c>
      <c r="J4" s="3" t="inlineStr">
        <is>
          <t>89777 41872</t>
        </is>
      </c>
      <c r="K4" s="3" t="inlineStr">
        <is>
          <t>Transcriptome Sequencing On Illumina Novaseq X Plus Platform</t>
        </is>
      </c>
      <c r="L4" s="3" t="inlineStr">
        <is>
          <t>Human Cell Lines</t>
        </is>
      </c>
      <c r="M4" s="3" t="inlineStr">
        <is>
          <t>Wts Seq</t>
        </is>
      </c>
      <c r="N4" s="3" t="inlineStr">
        <is>
          <t xml:space="preserve">Without Analysis </t>
        </is>
      </c>
      <c r="O4" s="3" t="n">
        <v>12</v>
      </c>
      <c r="P4" s="3" t="inlineStr">
        <is>
          <t>6 GB/Sample</t>
        </is>
      </c>
      <c r="Q4" s="3" t="n">
        <v>6</v>
      </c>
      <c r="R4" s="3" t="n">
        <v>72</v>
      </c>
      <c r="S4" s="3" t="n">
        <v>9000</v>
      </c>
      <c r="T4" s="5" t="n">
        <v>108000</v>
      </c>
      <c r="U4" s="5" t="n">
        <v>19440</v>
      </c>
      <c r="V4" s="5" t="n">
        <v>127440</v>
      </c>
      <c r="W4" s="3" t="inlineStr">
        <is>
          <t>UG/NGS/TP/2512434</t>
        </is>
      </c>
      <c r="X4" s="3" t="inlineStr">
        <is>
          <t xml:space="preserve">Harsh </t>
        </is>
      </c>
      <c r="Y4" s="3" t="inlineStr">
        <is>
          <t>Telangana</t>
        </is>
      </c>
      <c r="Z4" s="3" t="inlineStr">
        <is>
          <t>Hyderabad</t>
        </is>
      </c>
      <c r="AA4" s="3" t="n">
        <v>12</v>
      </c>
      <c r="AB4" s="3" t="n">
        <v>0</v>
      </c>
      <c r="AC4" s="4" t="n">
        <v>46030</v>
      </c>
      <c r="AD4" s="3" t="n">
        <v>3</v>
      </c>
      <c r="AE4" s="3" t="inlineStr">
        <is>
          <t>101&amp;102</t>
        </is>
      </c>
      <c r="AF4" s="4" t="n">
        <v>46065</v>
      </c>
      <c r="AG4" s="3" t="inlineStr"/>
      <c r="AH4" s="3" t="inlineStr">
        <is>
          <t>UPL/GEN/358/2526</t>
        </is>
      </c>
      <c r="AI4" s="4" t="n">
        <v>46093</v>
      </c>
      <c r="AJ4" s="3" t="inlineStr">
        <is>
          <t xml:space="preserve"> Project Closure</t>
        </is>
      </c>
      <c r="AK4" s="5" t="n">
        <v>108000</v>
      </c>
      <c r="AL4" s="5" t="n">
        <v>19440</v>
      </c>
      <c r="AM4" s="5" t="n">
        <v>127440</v>
      </c>
      <c r="AN4" s="3" t="n">
        <v>126</v>
      </c>
      <c r="AO4" s="5" t="n">
        <v>0</v>
      </c>
      <c r="AP4" s="5" t="n">
        <v>-127440</v>
      </c>
      <c r="AQ4" s="3" t="inlineStr"/>
    </row>
    <row r="5">
      <c r="A5" s="3" t="inlineStr">
        <is>
          <t>4</t>
        </is>
      </c>
      <c r="B5" s="3" t="inlineStr">
        <is>
          <t>NGS 26004</t>
        </is>
      </c>
      <c r="C5" s="4" t="n">
        <v>46024</v>
      </c>
      <c r="D5" s="3" t="inlineStr">
        <is>
          <t>January- 2026</t>
        </is>
      </c>
      <c r="E5" s="4" t="n">
        <v>46028</v>
      </c>
      <c r="F5" s="3" t="inlineStr">
        <is>
          <t>Dr. Sanjeeva Nayaka</t>
        </is>
      </c>
      <c r="G5" s="3" t="inlineStr">
        <is>
          <t>Nbri</t>
        </is>
      </c>
      <c r="H5" s="3" t="inlineStr">
        <is>
          <t>Future Biotech</t>
        </is>
      </c>
      <c r="I5" s="3" t="inlineStr">
        <is>
          <t>nayaka.sanjeeva@gmail.com</t>
        </is>
      </c>
      <c r="J5" s="3" t="inlineStr">
        <is>
          <t>8299820549</t>
        </is>
      </c>
      <c r="K5" s="3" t="inlineStr">
        <is>
          <t>Transcriptome Sequencing &amp; Analysis On Illumina Novaseq X Plus Platform</t>
        </is>
      </c>
      <c r="L5" s="3" t="inlineStr">
        <is>
          <t>Algae</t>
        </is>
      </c>
      <c r="M5" s="3" t="inlineStr">
        <is>
          <t>Wts Seq</t>
        </is>
      </c>
      <c r="N5" s="3" t="inlineStr">
        <is>
          <t>With Analysis</t>
        </is>
      </c>
      <c r="O5" s="3" t="n">
        <v>6</v>
      </c>
      <c r="P5" s="3" t="inlineStr">
        <is>
          <t>5-6 GB/Sample</t>
        </is>
      </c>
      <c r="Q5" s="3" t="n">
        <v>5</v>
      </c>
      <c r="R5" s="3" t="n">
        <v>30</v>
      </c>
      <c r="S5" s="3" t="n">
        <v>13000</v>
      </c>
      <c r="T5" s="5" t="n">
        <v>78000</v>
      </c>
      <c r="U5" s="5" t="n">
        <v>14040</v>
      </c>
      <c r="V5" s="5" t="n">
        <v>92040</v>
      </c>
      <c r="W5" s="3" t="inlineStr">
        <is>
          <t>UG/NGS/TP/2512376</t>
        </is>
      </c>
      <c r="X5" s="3" t="inlineStr">
        <is>
          <t>Ravi singh</t>
        </is>
      </c>
      <c r="Y5" s="3" t="inlineStr">
        <is>
          <t>Up</t>
        </is>
      </c>
      <c r="Z5" s="3" t="inlineStr">
        <is>
          <t>Lucknow</t>
        </is>
      </c>
      <c r="AA5" s="3" t="n">
        <v>0</v>
      </c>
      <c r="AB5" s="3" t="n">
        <v>6</v>
      </c>
      <c r="AC5" s="4" t="n">
        <v>46032</v>
      </c>
      <c r="AD5" s="3" t="n">
        <v>4</v>
      </c>
      <c r="AE5" s="3" t="inlineStr"/>
      <c r="AF5" s="3" t="inlineStr"/>
      <c r="AG5" s="3" t="inlineStr"/>
      <c r="AH5" s="3" t="inlineStr"/>
      <c r="AI5" s="3" t="inlineStr"/>
      <c r="AJ5" s="3" t="inlineStr">
        <is>
          <t xml:space="preserve">QC Fail </t>
        </is>
      </c>
      <c r="AK5" s="5" t="n">
        <v>0</v>
      </c>
      <c r="AL5" s="5" t="n">
        <v>0</v>
      </c>
      <c r="AM5" s="5" t="n">
        <v>0</v>
      </c>
      <c r="AN5" s="3" t="inlineStr"/>
      <c r="AO5" s="5" t="n">
        <v>0</v>
      </c>
      <c r="AP5" s="5" t="n">
        <v>0</v>
      </c>
      <c r="AQ5" s="3" t="inlineStr"/>
    </row>
    <row r="6">
      <c r="A6" s="3" t="inlineStr">
        <is>
          <t>5</t>
        </is>
      </c>
      <c r="B6" s="3" t="inlineStr">
        <is>
          <t>NGS 26005</t>
        </is>
      </c>
      <c r="C6" s="4" t="n">
        <v>46024</v>
      </c>
      <c r="D6" s="3" t="inlineStr">
        <is>
          <t>January- 2026</t>
        </is>
      </c>
      <c r="E6" s="4" t="n">
        <v>46028</v>
      </c>
      <c r="F6" s="3" t="inlineStr">
        <is>
          <t>Dr. Sanjeeva Nayaka</t>
        </is>
      </c>
      <c r="G6" s="3" t="inlineStr">
        <is>
          <t>Nbri</t>
        </is>
      </c>
      <c r="H6" s="3" t="inlineStr">
        <is>
          <t>Future Biotech</t>
        </is>
      </c>
      <c r="I6" s="3" t="inlineStr">
        <is>
          <t>nayaka.sanjeeva@gmail.com</t>
        </is>
      </c>
      <c r="J6" s="3" t="inlineStr">
        <is>
          <t>8299820549</t>
        </is>
      </c>
      <c r="K6" s="3" t="inlineStr">
        <is>
          <t>Transcriptome Sequencing &amp; Analysis On Illumina Novaseq X Plus Platform</t>
        </is>
      </c>
      <c r="L6" s="3" t="inlineStr">
        <is>
          <t>Tissue</t>
        </is>
      </c>
      <c r="M6" s="3" t="inlineStr">
        <is>
          <t>Wts Seq</t>
        </is>
      </c>
      <c r="N6" s="3" t="inlineStr">
        <is>
          <t>With Analysis</t>
        </is>
      </c>
      <c r="O6" s="3" t="n">
        <v>4</v>
      </c>
      <c r="P6" s="3" t="inlineStr">
        <is>
          <t>5-6 GB/Sample</t>
        </is>
      </c>
      <c r="Q6" s="3" t="n">
        <v>5</v>
      </c>
      <c r="R6" s="3" t="n">
        <v>20</v>
      </c>
      <c r="S6" s="3" t="n">
        <v>13000</v>
      </c>
      <c r="T6" s="5" t="n">
        <v>52000</v>
      </c>
      <c r="U6" s="5" t="n">
        <v>9360</v>
      </c>
      <c r="V6" s="5" t="n">
        <v>61360</v>
      </c>
      <c r="W6" s="3" t="inlineStr">
        <is>
          <t>UG/NGS/TP/2512376</t>
        </is>
      </c>
      <c r="X6" s="3" t="inlineStr">
        <is>
          <t>Ravi singh</t>
        </is>
      </c>
      <c r="Y6" s="3" t="inlineStr">
        <is>
          <t>Up</t>
        </is>
      </c>
      <c r="Z6" s="3" t="inlineStr">
        <is>
          <t>Lucknow</t>
        </is>
      </c>
      <c r="AA6" s="3" t="n">
        <v>0</v>
      </c>
      <c r="AB6" s="3" t="n">
        <v>4</v>
      </c>
      <c r="AC6" s="4" t="n">
        <v>46034</v>
      </c>
      <c r="AD6" s="3" t="n">
        <v>6</v>
      </c>
      <c r="AE6" s="3" t="inlineStr"/>
      <c r="AF6" s="3" t="inlineStr"/>
      <c r="AG6" s="3" t="inlineStr"/>
      <c r="AH6" s="3" t="inlineStr"/>
      <c r="AI6" s="3" t="inlineStr"/>
      <c r="AJ6" s="3" t="inlineStr">
        <is>
          <t xml:space="preserve">QC Fail </t>
        </is>
      </c>
      <c r="AK6" s="5" t="n">
        <v>0</v>
      </c>
      <c r="AL6" s="5" t="n">
        <v>0</v>
      </c>
      <c r="AM6" s="5" t="n">
        <v>0</v>
      </c>
      <c r="AN6" s="3" t="inlineStr"/>
      <c r="AO6" s="5" t="n">
        <v>0</v>
      </c>
      <c r="AP6" s="5" t="n">
        <v>0</v>
      </c>
      <c r="AQ6" s="3" t="inlineStr"/>
    </row>
    <row r="7">
      <c r="A7" s="3" t="inlineStr">
        <is>
          <t>6</t>
        </is>
      </c>
      <c r="B7" s="3" t="inlineStr">
        <is>
          <t>NGS 26006</t>
        </is>
      </c>
      <c r="C7" s="4" t="n">
        <v>46024</v>
      </c>
      <c r="D7" s="3" t="inlineStr">
        <is>
          <t>January- 2026</t>
        </is>
      </c>
      <c r="E7" s="4" t="n">
        <v>46028</v>
      </c>
      <c r="F7" s="3" t="inlineStr">
        <is>
          <t>Dr. Sanjeeva Nayaka</t>
        </is>
      </c>
      <c r="G7" s="3" t="inlineStr">
        <is>
          <t>Nbri</t>
        </is>
      </c>
      <c r="H7" s="3" t="inlineStr">
        <is>
          <t>Future Biotech</t>
        </is>
      </c>
      <c r="I7" s="3" t="inlineStr">
        <is>
          <t>nayaka.sanjeeva@gmail.com</t>
        </is>
      </c>
      <c r="J7" s="3" t="inlineStr">
        <is>
          <t>8299820549</t>
        </is>
      </c>
      <c r="K7" s="3" t="inlineStr">
        <is>
          <t>Transcriptome Sequencing &amp; Analysis On Illumina Novaseq X Plus Platform</t>
        </is>
      </c>
      <c r="L7" s="3" t="inlineStr">
        <is>
          <t>Algae</t>
        </is>
      </c>
      <c r="M7" s="3" t="inlineStr">
        <is>
          <t>Wts Seq</t>
        </is>
      </c>
      <c r="N7" s="3" t="inlineStr">
        <is>
          <t>With Analysis</t>
        </is>
      </c>
      <c r="O7" s="3" t="n">
        <v>3</v>
      </c>
      <c r="P7" s="3" t="inlineStr">
        <is>
          <t>5-6 GB/Sample</t>
        </is>
      </c>
      <c r="Q7" s="3" t="n">
        <v>5</v>
      </c>
      <c r="R7" s="3" t="n">
        <v>15</v>
      </c>
      <c r="S7" s="3" t="n">
        <v>13000</v>
      </c>
      <c r="T7" s="5" t="n">
        <v>39000</v>
      </c>
      <c r="U7" s="5" t="n">
        <v>7020</v>
      </c>
      <c r="V7" s="5" t="n">
        <v>46020</v>
      </c>
      <c r="W7" s="3" t="inlineStr">
        <is>
          <t>UG/NGS/TP/2512376</t>
        </is>
      </c>
      <c r="X7" s="3" t="inlineStr">
        <is>
          <t>Ravi singh</t>
        </is>
      </c>
      <c r="Y7" s="3" t="inlineStr">
        <is>
          <t>Up</t>
        </is>
      </c>
      <c r="Z7" s="3" t="inlineStr">
        <is>
          <t>Lucknow</t>
        </is>
      </c>
      <c r="AA7" s="3" t="n">
        <v>0</v>
      </c>
      <c r="AB7" s="3" t="n">
        <v>3</v>
      </c>
      <c r="AC7" s="4" t="n">
        <v>46032</v>
      </c>
      <c r="AD7" s="3" t="n">
        <v>4</v>
      </c>
      <c r="AE7" s="3" t="inlineStr"/>
      <c r="AF7" s="3" t="inlineStr"/>
      <c r="AG7" s="3" t="inlineStr"/>
      <c r="AH7" s="3" t="inlineStr"/>
      <c r="AI7" s="3" t="inlineStr"/>
      <c r="AJ7" s="3" t="inlineStr">
        <is>
          <t xml:space="preserve">QC Fail </t>
        </is>
      </c>
      <c r="AK7" s="5" t="n">
        <v>0</v>
      </c>
      <c r="AL7" s="5" t="n">
        <v>0</v>
      </c>
      <c r="AM7" s="5" t="n">
        <v>0</v>
      </c>
      <c r="AN7" s="3" t="inlineStr"/>
      <c r="AO7" s="5" t="n">
        <v>0</v>
      </c>
      <c r="AP7" s="5" t="n">
        <v>0</v>
      </c>
      <c r="AQ7" s="3" t="inlineStr"/>
    </row>
    <row r="8">
      <c r="A8" s="3" t="inlineStr">
        <is>
          <t>7</t>
        </is>
      </c>
      <c r="B8" s="3" t="inlineStr">
        <is>
          <t>NGS 26007</t>
        </is>
      </c>
      <c r="C8" s="4" t="n">
        <v>46027</v>
      </c>
      <c r="D8" s="3" t="inlineStr">
        <is>
          <t>January- 2026</t>
        </is>
      </c>
      <c r="E8" s="4" t="n">
        <v>46032</v>
      </c>
      <c r="F8" s="3" t="inlineStr">
        <is>
          <t>Sudharson Narayanan</t>
        </is>
      </c>
      <c r="G8" s="3" t="inlineStr">
        <is>
          <t>Symbiont Life Sciences</t>
        </is>
      </c>
      <c r="H8" s="3" t="inlineStr">
        <is>
          <t>Symbiont Life Sciences</t>
        </is>
      </c>
      <c r="I8" s="3" t="inlineStr">
        <is>
          <t>symbiontcs@gmail.com</t>
        </is>
      </c>
      <c r="J8" s="3" t="inlineStr">
        <is>
          <t>8838222756</t>
        </is>
      </c>
      <c r="K8" s="3" t="inlineStr">
        <is>
          <t>COI Sequencing &amp; Analysis On Illumina Platforms</t>
        </is>
      </c>
      <c r="L8" s="3" t="inlineStr">
        <is>
          <t>Water</t>
        </is>
      </c>
      <c r="M8" s="3" t="inlineStr">
        <is>
          <t>COI</t>
        </is>
      </c>
      <c r="N8" s="3" t="inlineStr">
        <is>
          <t>With Analysis</t>
        </is>
      </c>
      <c r="O8" s="3" t="n">
        <v>1</v>
      </c>
      <c r="P8" s="3" t="inlineStr">
        <is>
          <t>60,000-1,00,000 reads /sample</t>
        </is>
      </c>
      <c r="Q8" s="3" t="inlineStr"/>
      <c r="R8" s="3" t="n">
        <v>0</v>
      </c>
      <c r="S8" s="3" t="n">
        <v>6500</v>
      </c>
      <c r="T8" s="5" t="n">
        <v>6500</v>
      </c>
      <c r="U8" s="5" t="n">
        <v>1170</v>
      </c>
      <c r="V8" s="5" t="n">
        <v>7670</v>
      </c>
      <c r="W8" s="3" t="inlineStr">
        <is>
          <t>UG/NGS/TP/2408956R1</t>
        </is>
      </c>
      <c r="X8" s="3" t="inlineStr">
        <is>
          <t>South-1</t>
        </is>
      </c>
      <c r="Y8" s="3" t="inlineStr">
        <is>
          <t>Tamil Nadu</t>
        </is>
      </c>
      <c r="Z8" s="3" t="inlineStr">
        <is>
          <t>Chennai</t>
        </is>
      </c>
      <c r="AA8" s="3" t="n">
        <v>1</v>
      </c>
      <c r="AB8" s="3" t="n">
        <v>0</v>
      </c>
      <c r="AC8" s="4" t="n">
        <v>46038</v>
      </c>
      <c r="AD8" s="3" t="n">
        <v>6</v>
      </c>
      <c r="AE8" s="3" t="inlineStr">
        <is>
          <t>16s outsource batch-31</t>
        </is>
      </c>
      <c r="AF8" s="3" t="inlineStr"/>
      <c r="AG8" s="4" t="n">
        <v>46080</v>
      </c>
      <c r="AH8" s="3" t="inlineStr">
        <is>
          <t>UPL/GEN/2627/02</t>
        </is>
      </c>
      <c r="AI8" s="4" t="n">
        <v>46118</v>
      </c>
      <c r="AJ8" s="3" t="inlineStr">
        <is>
          <t xml:space="preserve"> Project Closure</t>
        </is>
      </c>
      <c r="AK8" s="5" t="n">
        <v>6500</v>
      </c>
      <c r="AL8" s="5" t="n">
        <v>1170</v>
      </c>
      <c r="AM8" s="5" t="n">
        <v>7670</v>
      </c>
      <c r="AN8" s="3" t="n">
        <v>101</v>
      </c>
      <c r="AO8" s="5" t="n">
        <v>7670</v>
      </c>
      <c r="AP8" s="5" t="n">
        <v>0</v>
      </c>
      <c r="AQ8" s="4" t="n">
        <v>46114</v>
      </c>
    </row>
    <row r="9">
      <c r="A9" s="3" t="inlineStr">
        <is>
          <t>8</t>
        </is>
      </c>
      <c r="B9" s="3" t="inlineStr">
        <is>
          <t>NGS 26008</t>
        </is>
      </c>
      <c r="C9" s="4" t="n">
        <v>46027</v>
      </c>
      <c r="D9" s="3" t="inlineStr">
        <is>
          <t>January- 2026</t>
        </is>
      </c>
      <c r="E9" s="4" t="n">
        <v>46028</v>
      </c>
      <c r="F9" s="3" t="inlineStr">
        <is>
          <t>Dr.G.Nagarajan</t>
        </is>
      </c>
      <c r="G9" s="3" t="inlineStr">
        <is>
          <t>ICAR-Cswri,Avikanagar</t>
        </is>
      </c>
      <c r="H9" s="3" t="inlineStr">
        <is>
          <t>ICAR-Cswri,Avikanagar</t>
        </is>
      </c>
      <c r="I9" s="3" t="inlineStr">
        <is>
          <t>gnagarajanars@gmail.com</t>
        </is>
      </c>
      <c r="J9" s="3" t="inlineStr">
        <is>
          <t>9655604162</t>
        </is>
      </c>
      <c r="K9" s="3" t="inlineStr">
        <is>
          <t>16S V3-V4 Metagenome Sequencing &amp; Analysis On Illumina Platform</t>
        </is>
      </c>
      <c r="L9" s="3" t="inlineStr">
        <is>
          <t>Pus From Sheep &amp; Goats</t>
        </is>
      </c>
      <c r="M9" s="3" t="inlineStr">
        <is>
          <t>16S V3-V4</t>
        </is>
      </c>
      <c r="N9" s="3" t="inlineStr">
        <is>
          <t>With Analysis</t>
        </is>
      </c>
      <c r="O9" s="3" t="n">
        <v>4</v>
      </c>
      <c r="P9" s="3" t="inlineStr">
        <is>
          <t>60,000-1,00,000 reads/sample</t>
        </is>
      </c>
      <c r="Q9" s="3" t="inlineStr"/>
      <c r="R9" s="3" t="n">
        <v>0</v>
      </c>
      <c r="S9" s="3" t="n">
        <v>8500</v>
      </c>
      <c r="T9" s="5" t="n">
        <v>34000</v>
      </c>
      <c r="U9" s="5" t="n">
        <v>6120</v>
      </c>
      <c r="V9" s="5" t="n">
        <v>40120</v>
      </c>
      <c r="W9" s="3" t="inlineStr">
        <is>
          <t>UG/NGS/TP/2512402</t>
        </is>
      </c>
      <c r="X9" s="3" t="inlineStr">
        <is>
          <t xml:space="preserve">Nem Singh </t>
        </is>
      </c>
      <c r="Y9" s="3" t="inlineStr">
        <is>
          <t>Rajasthan</t>
        </is>
      </c>
      <c r="Z9" s="3" t="inlineStr">
        <is>
          <t>Avikanagar</t>
        </is>
      </c>
      <c r="AA9" s="3" t="n">
        <v>4</v>
      </c>
      <c r="AB9" s="3" t="n">
        <v>0</v>
      </c>
      <c r="AC9" s="4" t="n">
        <v>46035</v>
      </c>
      <c r="AD9" s="3" t="n">
        <v>7</v>
      </c>
      <c r="AE9" s="3" t="inlineStr">
        <is>
          <t>16s outsource batch-31</t>
        </is>
      </c>
      <c r="AF9" s="3" t="inlineStr"/>
      <c r="AG9" s="4" t="n">
        <v>46073</v>
      </c>
      <c r="AH9" s="3" t="inlineStr">
        <is>
          <t>UPL/GEN/349/2526</t>
        </is>
      </c>
      <c r="AI9" s="4" t="n">
        <v>46092</v>
      </c>
      <c r="AJ9" s="3" t="inlineStr">
        <is>
          <t xml:space="preserve"> Project Closure</t>
        </is>
      </c>
      <c r="AK9" s="5" t="n">
        <v>34000</v>
      </c>
      <c r="AL9" s="5" t="n">
        <v>6120</v>
      </c>
      <c r="AM9" s="5" t="n">
        <v>40120</v>
      </c>
      <c r="AN9" s="3" t="n">
        <v>127</v>
      </c>
      <c r="AO9" s="5" t="n">
        <v>40120</v>
      </c>
      <c r="AP9" s="5" t="n">
        <v>0</v>
      </c>
      <c r="AQ9" s="4" t="n">
        <v>46191</v>
      </c>
    </row>
    <row r="10">
      <c r="A10" s="3" t="inlineStr">
        <is>
          <t>9</t>
        </is>
      </c>
      <c r="B10" s="3" t="inlineStr">
        <is>
          <t>NGS 260009</t>
        </is>
      </c>
      <c r="C10" s="4" t="n">
        <v>46027</v>
      </c>
      <c r="D10" s="3" t="inlineStr">
        <is>
          <t>January- 2026</t>
        </is>
      </c>
      <c r="E10" s="4" t="n">
        <v>46121</v>
      </c>
      <c r="F10" s="3" t="inlineStr">
        <is>
          <t>Shifa Firdous</t>
        </is>
      </c>
      <c r="G10" s="3" t="inlineStr">
        <is>
          <t>CSIR- Iiim</t>
        </is>
      </c>
      <c r="H10" s="3" t="inlineStr">
        <is>
          <t>Labdose</t>
        </is>
      </c>
      <c r="I10" s="3" t="inlineStr">
        <is>
          <t>shifafirdous31@gmail.com</t>
        </is>
      </c>
      <c r="J10" s="3" t="inlineStr"/>
      <c r="K10" s="3" t="inlineStr">
        <is>
          <t>Transcriptome Sequencing &amp; Analysis On Illumina Novaseq X Plus Platform</t>
        </is>
      </c>
      <c r="L10" s="3" t="inlineStr">
        <is>
          <t>N/A</t>
        </is>
      </c>
      <c r="M10" s="3" t="inlineStr">
        <is>
          <t>Wts Seq</t>
        </is>
      </c>
      <c r="N10" s="3" t="inlineStr">
        <is>
          <t>With Analysis</t>
        </is>
      </c>
      <c r="O10" s="3" t="n">
        <v>3</v>
      </c>
      <c r="P10" s="3" t="inlineStr">
        <is>
          <t>4 GB/Sample</t>
        </is>
      </c>
      <c r="Q10" s="3" t="n">
        <v>4</v>
      </c>
      <c r="R10" s="3" t="n">
        <v>12</v>
      </c>
      <c r="S10" s="3" t="n">
        <v>14000</v>
      </c>
      <c r="T10" s="5" t="n">
        <v>42000</v>
      </c>
      <c r="U10" s="5" t="n">
        <v>7560</v>
      </c>
      <c r="V10" s="5" t="n">
        <v>49560</v>
      </c>
      <c r="W10" s="3" t="inlineStr">
        <is>
          <t>UG/NGS/TP/2511280</t>
        </is>
      </c>
      <c r="X10" s="3" t="inlineStr">
        <is>
          <t xml:space="preserve">Harsh </t>
        </is>
      </c>
      <c r="Y10" s="3" t="inlineStr">
        <is>
          <t>North</t>
        </is>
      </c>
      <c r="Z10" s="3" t="inlineStr">
        <is>
          <t>J&amp;K</t>
        </is>
      </c>
      <c r="AA10" s="3" t="n">
        <v>3</v>
      </c>
      <c r="AB10" s="3" t="n">
        <v>0</v>
      </c>
      <c r="AC10" s="4" t="n">
        <v>46125</v>
      </c>
      <c r="AD10" s="3" t="n">
        <v>4</v>
      </c>
      <c r="AE10" s="3" t="inlineStr">
        <is>
          <t>124 &amp; 125</t>
        </is>
      </c>
      <c r="AF10" s="3" t="inlineStr"/>
      <c r="AG10" s="3" t="inlineStr"/>
      <c r="AH10" s="3" t="inlineStr"/>
      <c r="AI10" s="3" t="inlineStr"/>
      <c r="AJ10" s="3" t="inlineStr"/>
      <c r="AK10" s="5" t="n">
        <v>42000</v>
      </c>
      <c r="AL10" s="5" t="n">
        <v>7560</v>
      </c>
      <c r="AM10" s="5" t="n">
        <v>49560</v>
      </c>
      <c r="AN10" s="3" t="inlineStr"/>
      <c r="AO10" s="5" t="n">
        <v>0</v>
      </c>
      <c r="AP10" s="5" t="n">
        <v>-49560</v>
      </c>
      <c r="AQ10" s="3" t="inlineStr"/>
    </row>
    <row r="11">
      <c r="A11" s="3" t="inlineStr">
        <is>
          <t>10</t>
        </is>
      </c>
      <c r="B11" s="3" t="inlineStr">
        <is>
          <t>NGS 260010</t>
        </is>
      </c>
      <c r="C11" s="4" t="n">
        <v>46029</v>
      </c>
      <c r="D11" s="3" t="inlineStr">
        <is>
          <t>January- 2026</t>
        </is>
      </c>
      <c r="E11" s="4" t="n">
        <v>46121</v>
      </c>
      <c r="F11" s="3" t="inlineStr">
        <is>
          <t>Shifa Firdous</t>
        </is>
      </c>
      <c r="G11" s="3" t="inlineStr">
        <is>
          <t>CSIR- Iiim</t>
        </is>
      </c>
      <c r="H11" s="3" t="inlineStr">
        <is>
          <t>Labdose</t>
        </is>
      </c>
      <c r="I11" s="3" t="inlineStr">
        <is>
          <t>shifafirdous31@gmail.com</t>
        </is>
      </c>
      <c r="J11" s="3" t="inlineStr"/>
      <c r="K11" s="3" t="inlineStr">
        <is>
          <t>Transcriptome Sequencing &amp; Analysis On Illumina Novaseq X Plus Platform</t>
        </is>
      </c>
      <c r="L11" s="3" t="inlineStr">
        <is>
          <t>N/A</t>
        </is>
      </c>
      <c r="M11" s="3" t="inlineStr">
        <is>
          <t>Wts Seq</t>
        </is>
      </c>
      <c r="N11" s="3" t="inlineStr">
        <is>
          <t>With Analysis</t>
        </is>
      </c>
      <c r="O11" s="3" t="n">
        <v>4</v>
      </c>
      <c r="P11" s="3" t="inlineStr">
        <is>
          <t>4 GB/Sample</t>
        </is>
      </c>
      <c r="Q11" s="3" t="n">
        <v>4</v>
      </c>
      <c r="R11" s="3" t="n">
        <v>16</v>
      </c>
      <c r="S11" s="3" t="n">
        <v>14000</v>
      </c>
      <c r="T11" s="5" t="n">
        <v>56000</v>
      </c>
      <c r="U11" s="5" t="n">
        <v>10080</v>
      </c>
      <c r="V11" s="5" t="n">
        <v>66080</v>
      </c>
      <c r="W11" s="3" t="inlineStr">
        <is>
          <t>UG/NGS/TP/2511280</t>
        </is>
      </c>
      <c r="X11" s="3" t="inlineStr">
        <is>
          <t xml:space="preserve">Harsh </t>
        </is>
      </c>
      <c r="Y11" s="3" t="inlineStr">
        <is>
          <t>North</t>
        </is>
      </c>
      <c r="Z11" s="3" t="inlineStr">
        <is>
          <t>J&amp;K</t>
        </is>
      </c>
      <c r="AA11" s="3" t="n">
        <v>4</v>
      </c>
      <c r="AB11" s="3" t="n">
        <v>0</v>
      </c>
      <c r="AC11" s="4" t="n">
        <v>46125</v>
      </c>
      <c r="AD11" s="3" t="n">
        <v>4</v>
      </c>
      <c r="AE11" s="3" t="inlineStr">
        <is>
          <t>124 &amp;125</t>
        </is>
      </c>
      <c r="AF11" s="3" t="inlineStr"/>
      <c r="AG11" s="3" t="inlineStr"/>
      <c r="AH11" s="3" t="inlineStr"/>
      <c r="AI11" s="3" t="inlineStr"/>
      <c r="AJ11" s="3" t="inlineStr"/>
      <c r="AK11" s="5" t="n">
        <v>56000</v>
      </c>
      <c r="AL11" s="5" t="n">
        <v>10080</v>
      </c>
      <c r="AM11" s="5" t="n">
        <v>66080</v>
      </c>
      <c r="AN11" s="3" t="inlineStr"/>
      <c r="AO11" s="5" t="n">
        <v>0</v>
      </c>
      <c r="AP11" s="5" t="n">
        <v>-66080</v>
      </c>
      <c r="AQ11" s="3" t="inlineStr"/>
    </row>
    <row r="12">
      <c r="A12" s="3" t="inlineStr">
        <is>
          <t>11</t>
        </is>
      </c>
      <c r="B12" s="3" t="inlineStr">
        <is>
          <t>NGS 26011</t>
        </is>
      </c>
      <c r="C12" s="4" t="n">
        <v>46029</v>
      </c>
      <c r="D12" s="3" t="inlineStr">
        <is>
          <t>January- 2026</t>
        </is>
      </c>
      <c r="E12" s="4" t="n">
        <v>46031</v>
      </c>
      <c r="F12" s="3" t="inlineStr">
        <is>
          <t>Dr. Saran Kumar</t>
        </is>
      </c>
      <c r="G12" s="3" t="inlineStr">
        <is>
          <t>IIT-D</t>
        </is>
      </c>
      <c r="H12" s="3" t="inlineStr">
        <is>
          <t>IIT-D</t>
        </is>
      </c>
      <c r="I12" s="3" t="inlineStr">
        <is>
          <t>ksaran@iitd.ac.in</t>
        </is>
      </c>
      <c r="J12" s="3" t="inlineStr">
        <is>
          <t>7300916492</t>
        </is>
      </c>
      <c r="K12" s="3" t="inlineStr">
        <is>
          <t>Whole Transcriptome Sequencing &amp; Analysis On Illumina Platform</t>
        </is>
      </c>
      <c r="L12" s="3" t="inlineStr">
        <is>
          <t>Samples Are In Trizol</t>
        </is>
      </c>
      <c r="M12" s="3" t="inlineStr">
        <is>
          <t>Wts Seq</t>
        </is>
      </c>
      <c r="N12" s="3" t="inlineStr">
        <is>
          <t>Without Analysis</t>
        </is>
      </c>
      <c r="O12" s="3" t="n">
        <v>11</v>
      </c>
      <c r="P12" s="3" t="inlineStr">
        <is>
          <t>50 million read /sample (15 Gb/Sample)</t>
        </is>
      </c>
      <c r="Q12" s="3" t="n">
        <v>15</v>
      </c>
      <c r="R12" s="3" t="n">
        <v>165</v>
      </c>
      <c r="S12" s="3" t="n">
        <v>12460</v>
      </c>
      <c r="T12" s="5" t="n">
        <v>137060</v>
      </c>
      <c r="U12" s="5" t="n">
        <v>24670.8</v>
      </c>
      <c r="V12" s="5" t="n">
        <v>161730.8</v>
      </c>
      <c r="W12" s="3" t="inlineStr">
        <is>
          <t>UG/NGS/TP/2511323</t>
        </is>
      </c>
      <c r="X12" s="3" t="inlineStr">
        <is>
          <t xml:space="preserve">Harsh </t>
        </is>
      </c>
      <c r="Y12" s="3" t="inlineStr">
        <is>
          <t>Delhi</t>
        </is>
      </c>
      <c r="Z12" s="3" t="inlineStr">
        <is>
          <t>New Delhi</t>
        </is>
      </c>
      <c r="AA12" s="3" t="n">
        <v>7</v>
      </c>
      <c r="AB12" s="3" t="n">
        <v>4</v>
      </c>
      <c r="AC12" s="4" t="n">
        <v>46041</v>
      </c>
      <c r="AD12" s="3" t="n">
        <v>10</v>
      </c>
      <c r="AE12" s="3" t="inlineStr">
        <is>
          <t>102</t>
        </is>
      </c>
      <c r="AF12" s="4" t="n">
        <v>46057</v>
      </c>
      <c r="AG12" s="3" t="inlineStr"/>
      <c r="AH12" s="3" t="inlineStr">
        <is>
          <t>UPL/GEN/135/2526</t>
        </is>
      </c>
      <c r="AI12" s="4" t="n">
        <v>45877</v>
      </c>
      <c r="AJ12" s="3" t="inlineStr">
        <is>
          <t xml:space="preserve"> Project Closure</t>
        </is>
      </c>
      <c r="AK12" s="5" t="n">
        <v>87220</v>
      </c>
      <c r="AL12" s="5" t="n">
        <v>15699.6</v>
      </c>
      <c r="AM12" s="5" t="n">
        <v>102919.6</v>
      </c>
      <c r="AN12" s="3" t="n">
        <v>342</v>
      </c>
      <c r="AO12" s="5" t="n">
        <v>102920</v>
      </c>
      <c r="AP12" s="5" t="n">
        <v>-0.3999999999941792</v>
      </c>
      <c r="AQ12" s="3" t="inlineStr"/>
    </row>
    <row r="13">
      <c r="A13" s="3" t="inlineStr">
        <is>
          <t>12</t>
        </is>
      </c>
      <c r="B13" s="3" t="inlineStr">
        <is>
          <t>NGS 26012</t>
        </is>
      </c>
      <c r="C13" s="4" t="n">
        <v>46029</v>
      </c>
      <c r="D13" s="3" t="inlineStr">
        <is>
          <t>January- 2026</t>
        </is>
      </c>
      <c r="E13" s="4" t="n">
        <v>46032</v>
      </c>
      <c r="F13" s="3" t="inlineStr">
        <is>
          <t>Dr. Saran Kumar</t>
        </is>
      </c>
      <c r="G13" s="3" t="inlineStr">
        <is>
          <t>IIT-D</t>
        </is>
      </c>
      <c r="H13" s="3" t="inlineStr">
        <is>
          <t>IIT-D</t>
        </is>
      </c>
      <c r="I13" s="3" t="inlineStr">
        <is>
          <t>ksaran@iitd.ac.in</t>
        </is>
      </c>
      <c r="J13" s="3" t="inlineStr">
        <is>
          <t>7300916492</t>
        </is>
      </c>
      <c r="K13" s="3" t="inlineStr">
        <is>
          <t>Whole Exome Sequencing On Illumina Novaseq X Plus Platform</t>
        </is>
      </c>
      <c r="L13" s="3" t="inlineStr">
        <is>
          <t>DNA</t>
        </is>
      </c>
      <c r="M13" s="3" t="inlineStr">
        <is>
          <t>Wes Seq</t>
        </is>
      </c>
      <c r="N13" s="3" t="inlineStr">
        <is>
          <t>Without Analysis</t>
        </is>
      </c>
      <c r="O13" s="3" t="n">
        <v>10</v>
      </c>
      <c r="P13" s="3" t="inlineStr">
        <is>
          <t>8 -10 Gb /Sample</t>
        </is>
      </c>
      <c r="Q13" s="3" t="n">
        <v>10</v>
      </c>
      <c r="R13" s="3" t="n">
        <v>100</v>
      </c>
      <c r="S13" s="3" t="n">
        <v>8000</v>
      </c>
      <c r="T13" s="5" t="n">
        <v>80000</v>
      </c>
      <c r="U13" s="5" t="n">
        <v>14400</v>
      </c>
      <c r="V13" s="5" t="n">
        <v>94400</v>
      </c>
      <c r="W13" s="3" t="inlineStr">
        <is>
          <t>UG/NGS/TP/2511322</t>
        </is>
      </c>
      <c r="X13" s="3" t="inlineStr">
        <is>
          <t xml:space="preserve">Harsh </t>
        </is>
      </c>
      <c r="Y13" s="3" t="inlineStr">
        <is>
          <t>Delhi</t>
        </is>
      </c>
      <c r="Z13" s="3" t="inlineStr">
        <is>
          <t>New Delhi</t>
        </is>
      </c>
      <c r="AA13" s="3" t="n">
        <v>8</v>
      </c>
      <c r="AB13" s="3" t="n">
        <v>2</v>
      </c>
      <c r="AC13" s="4" t="n">
        <v>46041</v>
      </c>
      <c r="AD13" s="3" t="n">
        <v>9</v>
      </c>
      <c r="AE13" s="3" t="inlineStr">
        <is>
          <t>100 &amp; 115 &amp;116 &amp;117</t>
        </is>
      </c>
      <c r="AF13" s="4" t="n">
        <v>46057</v>
      </c>
      <c r="AG13" s="3" t="inlineStr"/>
      <c r="AH13" s="3" t="inlineStr">
        <is>
          <t>UPL/GEN/2627/05</t>
        </is>
      </c>
      <c r="AI13" s="4" t="n">
        <v>46119</v>
      </c>
      <c r="AJ13" s="3" t="inlineStr">
        <is>
          <t xml:space="preserve"> Project Closure</t>
        </is>
      </c>
      <c r="AK13" s="5" t="n">
        <v>64000</v>
      </c>
      <c r="AL13" s="5" t="n">
        <v>11520</v>
      </c>
      <c r="AM13" s="5" t="n">
        <v>75520</v>
      </c>
      <c r="AN13" s="3" t="n">
        <v>100</v>
      </c>
      <c r="AO13" s="5" t="n">
        <v>75520</v>
      </c>
      <c r="AP13" s="5" t="n">
        <v>0</v>
      </c>
      <c r="AQ13" s="3" t="inlineStr"/>
    </row>
    <row r="14">
      <c r="A14" s="3" t="inlineStr">
        <is>
          <t>13</t>
        </is>
      </c>
      <c r="B14" s="3" t="inlineStr">
        <is>
          <t>NGS 26013</t>
        </is>
      </c>
      <c r="C14" s="4" t="n">
        <v>46029</v>
      </c>
      <c r="D14" s="3" t="inlineStr">
        <is>
          <t>January- 2026</t>
        </is>
      </c>
      <c r="E14" s="4" t="n">
        <v>46034</v>
      </c>
      <c r="F14" s="3" t="inlineStr">
        <is>
          <t>Dr. Subodh Kumar</t>
        </is>
      </c>
      <c r="G14" s="3" t="inlineStr">
        <is>
          <t>Drde Gwalior</t>
        </is>
      </c>
      <c r="H14" s="3" t="inlineStr">
        <is>
          <t>Drde Gwalior</t>
        </is>
      </c>
      <c r="I14" s="3" t="inlineStr">
        <is>
          <t>subodhgwl@gmail.com</t>
        </is>
      </c>
      <c r="J14" s="3" t="inlineStr">
        <is>
          <t>9435508629</t>
        </is>
      </c>
      <c r="K14" s="3" t="inlineStr">
        <is>
          <t>Shotgun Whole Genome Metagenomics &amp; Analysis On Illumina Platform</t>
        </is>
      </c>
      <c r="L14" s="3" t="inlineStr">
        <is>
          <t>DNA</t>
        </is>
      </c>
      <c r="M14" s="3" t="inlineStr">
        <is>
          <t>Shotgun</t>
        </is>
      </c>
      <c r="N14" s="3" t="inlineStr">
        <is>
          <t xml:space="preserve">With Analysis </t>
        </is>
      </c>
      <c r="O14" s="3" t="n">
        <v>30</v>
      </c>
      <c r="P14" s="3" t="inlineStr">
        <is>
          <t>8 -10 Gb /Sample</t>
        </is>
      </c>
      <c r="Q14" s="3" t="n">
        <v>10</v>
      </c>
      <c r="R14" s="3" t="n">
        <v>300</v>
      </c>
      <c r="S14" s="3" t="n">
        <v>5700</v>
      </c>
      <c r="T14" s="5" t="n">
        <v>171000</v>
      </c>
      <c r="U14" s="5" t="n">
        <v>30780</v>
      </c>
      <c r="V14" s="5" t="n">
        <v>201780</v>
      </c>
      <c r="W14" s="3" t="inlineStr">
        <is>
          <t>GEMC-511687713136482</t>
        </is>
      </c>
      <c r="X14" s="3" t="inlineStr">
        <is>
          <t xml:space="preserve">Harsh </t>
        </is>
      </c>
      <c r="Y14" s="3" t="inlineStr">
        <is>
          <t>Mp</t>
        </is>
      </c>
      <c r="Z14" s="3" t="inlineStr">
        <is>
          <t>Gwalior</t>
        </is>
      </c>
      <c r="AA14" s="3" t="n">
        <v>26</v>
      </c>
      <c r="AB14" s="3" t="n">
        <v>4</v>
      </c>
      <c r="AC14" s="4" t="n">
        <v>46041</v>
      </c>
      <c r="AD14" s="3" t="n">
        <v>7</v>
      </c>
      <c r="AE14" s="3" t="inlineStr">
        <is>
          <t>99</t>
        </is>
      </c>
      <c r="AF14" s="4" t="n">
        <v>46059</v>
      </c>
      <c r="AG14" s="4" t="n">
        <v>46106</v>
      </c>
      <c r="AH14" s="3" t="inlineStr">
        <is>
          <t>UPL/GEN/283/2526</t>
        </is>
      </c>
      <c r="AI14" s="4" t="n">
        <v>46022</v>
      </c>
      <c r="AJ14" s="3" t="inlineStr">
        <is>
          <t xml:space="preserve"> Project Closure</t>
        </is>
      </c>
      <c r="AK14" s="5" t="n">
        <v>148200</v>
      </c>
      <c r="AL14" s="5" t="n">
        <v>26676</v>
      </c>
      <c r="AM14" s="5" t="n">
        <v>174876</v>
      </c>
      <c r="AN14" s="3" t="n">
        <v>197</v>
      </c>
      <c r="AO14" s="5" t="n">
        <v>0</v>
      </c>
      <c r="AP14" s="5" t="n">
        <v>-174876</v>
      </c>
      <c r="AQ14" s="3" t="inlineStr"/>
    </row>
    <row r="15">
      <c r="A15" s="3" t="inlineStr">
        <is>
          <t>14</t>
        </is>
      </c>
      <c r="B15" s="3" t="inlineStr">
        <is>
          <t>NGS 260014</t>
        </is>
      </c>
      <c r="C15" s="4" t="n">
        <v>46035</v>
      </c>
      <c r="D15" s="3" t="inlineStr">
        <is>
          <t>January- 2026</t>
        </is>
      </c>
      <c r="E15" s="4" t="n">
        <v>46057</v>
      </c>
      <c r="F15" s="3" t="inlineStr">
        <is>
          <t>Dr.Bhautik</t>
        </is>
      </c>
      <c r="G15" s="3" t="inlineStr">
        <is>
          <t>Sukshma Lifescience Technologies</t>
        </is>
      </c>
      <c r="H15" s="3" t="inlineStr">
        <is>
          <t>Sukshma Lifescience Technologies</t>
        </is>
      </c>
      <c r="I15" s="3" t="inlineStr">
        <is>
          <t>Info@sukshmalifescience.com</t>
        </is>
      </c>
      <c r="J15" s="3" t="inlineStr">
        <is>
          <t>9727828191</t>
        </is>
      </c>
      <c r="K15" s="3" t="inlineStr">
        <is>
          <t>Whole Genome Sequencing &amp; Analysis On Illumina Novaseq X Plus Platform</t>
        </is>
      </c>
      <c r="L15" s="3" t="inlineStr">
        <is>
          <t>Microalgal Consortia</t>
        </is>
      </c>
      <c r="M15" s="3" t="inlineStr">
        <is>
          <t>Wgs Seq</t>
        </is>
      </c>
      <c r="N15" s="3" t="inlineStr">
        <is>
          <t xml:space="preserve">With Analysis </t>
        </is>
      </c>
      <c r="O15" s="3" t="n">
        <v>1</v>
      </c>
      <c r="P15" s="3" t="inlineStr">
        <is>
          <t>4-5 GB/Samples</t>
        </is>
      </c>
      <c r="Q15" s="3" t="n">
        <v>5</v>
      </c>
      <c r="R15" s="3" t="n">
        <v>5</v>
      </c>
      <c r="S15" s="3" t="n">
        <v>11000</v>
      </c>
      <c r="T15" s="5" t="n">
        <v>11000</v>
      </c>
      <c r="U15" s="5" t="n">
        <v>1980</v>
      </c>
      <c r="V15" s="5" t="n">
        <v>12980</v>
      </c>
      <c r="W15" s="3" t="inlineStr">
        <is>
          <t>UG/NGS/TP/2601462R1</t>
        </is>
      </c>
      <c r="X15" s="3" t="inlineStr">
        <is>
          <t xml:space="preserve">Harsh </t>
        </is>
      </c>
      <c r="Y15" s="3" t="inlineStr">
        <is>
          <t>Gujarat</t>
        </is>
      </c>
      <c r="Z15" s="3" t="inlineStr">
        <is>
          <t>Ahmedabad</t>
        </is>
      </c>
      <c r="AA15" s="3" t="n">
        <v>1</v>
      </c>
      <c r="AB15" s="3" t="n">
        <v>0</v>
      </c>
      <c r="AC15" s="4" t="n">
        <v>46067</v>
      </c>
      <c r="AD15" s="3" t="n">
        <v>10</v>
      </c>
      <c r="AE15" s="3" t="inlineStr">
        <is>
          <t>106</t>
        </is>
      </c>
      <c r="AF15" s="3" t="inlineStr"/>
      <c r="AG15" s="4" t="n">
        <v>46122</v>
      </c>
      <c r="AH15" s="3" t="inlineStr">
        <is>
          <t>UPL/GEN/2627/54</t>
        </is>
      </c>
      <c r="AI15" s="4" t="n">
        <v>46192</v>
      </c>
      <c r="AJ15" s="3" t="inlineStr">
        <is>
          <t xml:space="preserve"> Project Closure</t>
        </is>
      </c>
      <c r="AK15" s="5" t="n">
        <v>11000</v>
      </c>
      <c r="AL15" s="5" t="n">
        <v>1980</v>
      </c>
      <c r="AM15" s="5" t="n">
        <v>12980</v>
      </c>
      <c r="AN15" s="3" t="n">
        <v>27</v>
      </c>
      <c r="AO15" s="5" t="n">
        <v>12980</v>
      </c>
      <c r="AP15" s="5" t="n">
        <v>0</v>
      </c>
      <c r="AQ15" s="4" t="n">
        <v>46129</v>
      </c>
    </row>
    <row r="16">
      <c r="A16" s="3" t="inlineStr">
        <is>
          <t>15</t>
        </is>
      </c>
      <c r="B16" s="3" t="inlineStr">
        <is>
          <t>NGS 260015</t>
        </is>
      </c>
      <c r="C16" s="4" t="n">
        <v>46035</v>
      </c>
      <c r="D16" s="3" t="inlineStr">
        <is>
          <t>January- 2026</t>
        </is>
      </c>
      <c r="E16" s="4" t="n">
        <v>46041</v>
      </c>
      <c r="F16" s="3" t="inlineStr">
        <is>
          <t>Sudharson Narayanan</t>
        </is>
      </c>
      <c r="G16" s="3" t="inlineStr">
        <is>
          <t>Symbiont Life Sciences</t>
        </is>
      </c>
      <c r="H16" s="3" t="inlineStr">
        <is>
          <t>Symbiont Life Sciences</t>
        </is>
      </c>
      <c r="I16" s="3" t="inlineStr">
        <is>
          <t>symbiontcs@gmail.com</t>
        </is>
      </c>
      <c r="J16" s="3" t="inlineStr">
        <is>
          <t>8838222756</t>
        </is>
      </c>
      <c r="K16" s="3" t="inlineStr">
        <is>
          <t>16S V3-V4 Metagenome Sequencing On Illumina Platforms</t>
        </is>
      </c>
      <c r="L16" s="3" t="inlineStr">
        <is>
          <t>Fish Tissue In 1X Pbs</t>
        </is>
      </c>
      <c r="M16" s="3" t="inlineStr">
        <is>
          <t>16S V3-V4</t>
        </is>
      </c>
      <c r="N16" s="3" t="inlineStr">
        <is>
          <t>Without Analysis</t>
        </is>
      </c>
      <c r="O16" s="3" t="n">
        <v>45</v>
      </c>
      <c r="P16" s="3" t="inlineStr">
        <is>
          <t>0.1 M reads/sample</t>
        </is>
      </c>
      <c r="Q16" s="3" t="inlineStr"/>
      <c r="R16" s="3" t="n">
        <v>0</v>
      </c>
      <c r="S16" s="3" t="n">
        <v>5000</v>
      </c>
      <c r="T16" s="5" t="n">
        <v>225000</v>
      </c>
      <c r="U16" s="5" t="n">
        <v>40500</v>
      </c>
      <c r="V16" s="5" t="n">
        <v>265500</v>
      </c>
      <c r="W16" s="3" t="inlineStr">
        <is>
          <t>UG/NGS/TP/2401259R1</t>
        </is>
      </c>
      <c r="X16" s="3" t="inlineStr">
        <is>
          <t>South-1</t>
        </is>
      </c>
      <c r="Y16" s="3" t="inlineStr">
        <is>
          <t>Tamil Nadu</t>
        </is>
      </c>
      <c r="Z16" s="3" t="inlineStr">
        <is>
          <t>Chennai</t>
        </is>
      </c>
      <c r="AA16" s="3" t="n">
        <v>45</v>
      </c>
      <c r="AB16" s="3" t="n">
        <v>0</v>
      </c>
      <c r="AC16" s="4" t="n">
        <v>46055</v>
      </c>
      <c r="AD16" s="3" t="n">
        <v>14</v>
      </c>
      <c r="AE16" s="3" t="inlineStr">
        <is>
          <t>16s outsource batch-32</t>
        </is>
      </c>
      <c r="AF16" s="4" t="n">
        <v>46094</v>
      </c>
      <c r="AG16" s="3" t="inlineStr"/>
      <c r="AH16" s="3" t="inlineStr">
        <is>
          <t>UPL/GEN/443/2526</t>
        </is>
      </c>
      <c r="AI16" s="4" t="n">
        <v>46112</v>
      </c>
      <c r="AJ16" s="3" t="inlineStr">
        <is>
          <t xml:space="preserve"> Project Closure</t>
        </is>
      </c>
      <c r="AK16" s="5" t="n">
        <v>225000</v>
      </c>
      <c r="AL16" s="5" t="n">
        <v>40500</v>
      </c>
      <c r="AM16" s="5" t="n">
        <v>265500</v>
      </c>
      <c r="AN16" s="3" t="n">
        <v>107</v>
      </c>
      <c r="AO16" s="5" t="n">
        <v>265500</v>
      </c>
      <c r="AP16" s="5" t="n">
        <v>0</v>
      </c>
      <c r="AQ16" s="4" t="n">
        <v>46093</v>
      </c>
    </row>
    <row r="17">
      <c r="A17" s="3" t="inlineStr">
        <is>
          <t>16</t>
        </is>
      </c>
      <c r="B17" s="3" t="inlineStr">
        <is>
          <t>NGS 260016</t>
        </is>
      </c>
      <c r="C17" s="4" t="n">
        <v>46038</v>
      </c>
      <c r="D17" s="3" t="inlineStr">
        <is>
          <t>January- 2026</t>
        </is>
      </c>
      <c r="E17" s="4" t="n">
        <v>46038</v>
      </c>
      <c r="F17" s="3" t="inlineStr">
        <is>
          <t>Dr. V. Balaji</t>
        </is>
      </c>
      <c r="G17" s="3" t="inlineStr">
        <is>
          <t>Cmc Vellore</t>
        </is>
      </c>
      <c r="H17" s="3" t="inlineStr">
        <is>
          <t>Cmc Vellore</t>
        </is>
      </c>
      <c r="I17" s="3" t="inlineStr">
        <is>
          <t>jjj1986@gmail.com</t>
        </is>
      </c>
      <c r="J17" s="3" t="inlineStr"/>
      <c r="K17" s="3" t="inlineStr">
        <is>
          <t>Whole Genome Sequencing On Illumina Novaseq 6000 Platforms</t>
        </is>
      </c>
      <c r="L17" s="3" t="inlineStr">
        <is>
          <t>DNA</t>
        </is>
      </c>
      <c r="M17" s="3" t="inlineStr">
        <is>
          <t>Wgs Seq</t>
        </is>
      </c>
      <c r="N17" s="3" t="inlineStr">
        <is>
          <t>Without Analysis</t>
        </is>
      </c>
      <c r="O17" s="3" t="n">
        <v>534</v>
      </c>
      <c r="P17" s="3" t="inlineStr">
        <is>
          <t>0.5 GB -1 GB/sample</t>
        </is>
      </c>
      <c r="Q17" s="3" t="n">
        <v>1</v>
      </c>
      <c r="R17" s="3" t="n">
        <v>534</v>
      </c>
      <c r="S17" s="3" t="n">
        <v>2300</v>
      </c>
      <c r="T17" s="5" t="n">
        <v>1228200</v>
      </c>
      <c r="U17" s="5" t="n">
        <v>221076</v>
      </c>
      <c r="V17" s="5" t="n">
        <v>1449276</v>
      </c>
      <c r="W17" s="3" t="inlineStr"/>
      <c r="X17" s="3" t="inlineStr">
        <is>
          <t>Pugalendhi</t>
        </is>
      </c>
      <c r="Y17" s="3" t="inlineStr">
        <is>
          <t>South</t>
        </is>
      </c>
      <c r="Z17" s="3" t="inlineStr">
        <is>
          <t>Vellore</t>
        </is>
      </c>
      <c r="AA17" s="3" t="n">
        <v>534</v>
      </c>
      <c r="AB17" s="3" t="n">
        <v>0</v>
      </c>
      <c r="AC17" s="4" t="n">
        <v>46042</v>
      </c>
      <c r="AD17" s="3" t="n">
        <v>4</v>
      </c>
      <c r="AE17" s="3" t="inlineStr">
        <is>
          <t>99 &amp; 100</t>
        </is>
      </c>
      <c r="AF17" s="4" t="n">
        <v>46060</v>
      </c>
      <c r="AG17" s="3" t="inlineStr"/>
      <c r="AH17" s="3" t="inlineStr">
        <is>
          <t>UPL/GEN/328/2526</t>
        </is>
      </c>
      <c r="AI17" s="4" t="n">
        <v>46064</v>
      </c>
      <c r="AJ17" s="3" t="inlineStr">
        <is>
          <t xml:space="preserve"> Project Closure</t>
        </is>
      </c>
      <c r="AK17" s="5" t="n">
        <v>1228200</v>
      </c>
      <c r="AL17" s="5" t="n">
        <v>221076</v>
      </c>
      <c r="AM17" s="5" t="n">
        <v>1449276</v>
      </c>
      <c r="AN17" s="3" t="n">
        <v>155</v>
      </c>
      <c r="AO17" s="5" t="n">
        <v>1449276</v>
      </c>
      <c r="AP17" s="5" t="n">
        <v>0</v>
      </c>
      <c r="AQ17" s="4" t="n">
        <v>46088</v>
      </c>
    </row>
    <row r="18">
      <c r="A18" s="3" t="inlineStr">
        <is>
          <t>17</t>
        </is>
      </c>
      <c r="B18" s="3" t="inlineStr">
        <is>
          <t>NGS 260017</t>
        </is>
      </c>
      <c r="C18" s="4" t="n">
        <v>46038</v>
      </c>
      <c r="D18" s="3" t="inlineStr">
        <is>
          <t>January- 2026</t>
        </is>
      </c>
      <c r="E18" s="4" t="n">
        <v>46093</v>
      </c>
      <c r="F18" s="3" t="inlineStr">
        <is>
          <t>Dr.Nishat</t>
        </is>
      </c>
      <c r="G18" s="3" t="inlineStr">
        <is>
          <t>Biologia Research</t>
        </is>
      </c>
      <c r="H18" s="3" t="inlineStr">
        <is>
          <t>Biologia Research</t>
        </is>
      </c>
      <c r="I18" s="3" t="inlineStr">
        <is>
          <t>nishat@biologia.co.in</t>
        </is>
      </c>
      <c r="J18" s="3" t="inlineStr"/>
      <c r="K18" s="3" t="inlineStr">
        <is>
          <t>Chip Sequencing &amp; Analysis On Illumina Platform</t>
        </is>
      </c>
      <c r="L18" s="3" t="inlineStr">
        <is>
          <t>Chip DNA</t>
        </is>
      </c>
      <c r="M18" s="3" t="inlineStr">
        <is>
          <t>N/A</t>
        </is>
      </c>
      <c r="N18" s="3" t="inlineStr"/>
      <c r="O18" s="3" t="n">
        <v>10</v>
      </c>
      <c r="P18" s="3" t="inlineStr">
        <is>
          <t>8-10 GB/sample</t>
        </is>
      </c>
      <c r="Q18" s="3" t="n">
        <v>10</v>
      </c>
      <c r="R18" s="3" t="n">
        <v>100</v>
      </c>
      <c r="S18" s="3" t="n">
        <v>14000</v>
      </c>
      <c r="T18" s="5" t="n">
        <v>140000</v>
      </c>
      <c r="U18" s="5" t="n">
        <v>25200</v>
      </c>
      <c r="V18" s="5" t="n">
        <v>165200</v>
      </c>
      <c r="W18" s="3" t="inlineStr">
        <is>
          <t>UG/NGS/TP/2507912</t>
        </is>
      </c>
      <c r="X18" s="3" t="inlineStr">
        <is>
          <t xml:space="preserve">Nem Singh </t>
        </is>
      </c>
      <c r="Y18" s="3" t="inlineStr">
        <is>
          <t>Karnal</t>
        </is>
      </c>
      <c r="Z18" s="3" t="inlineStr">
        <is>
          <t>N/A</t>
        </is>
      </c>
      <c r="AA18" s="3" t="n">
        <v>0</v>
      </c>
      <c r="AB18" s="3" t="n">
        <v>10</v>
      </c>
      <c r="AC18" s="4" t="n">
        <v>46101</v>
      </c>
      <c r="AD18" s="3" t="n">
        <v>8</v>
      </c>
      <c r="AE18" s="3" t="inlineStr"/>
      <c r="AF18" s="3" t="inlineStr"/>
      <c r="AG18" s="3" t="inlineStr"/>
      <c r="AH18" s="3" t="inlineStr"/>
      <c r="AI18" s="3" t="inlineStr"/>
      <c r="AJ18" s="3" t="inlineStr">
        <is>
          <t>QC Fail</t>
        </is>
      </c>
      <c r="AK18" s="5" t="n">
        <v>0</v>
      </c>
      <c r="AL18" s="5" t="n">
        <v>0</v>
      </c>
      <c r="AM18" s="5" t="n">
        <v>0</v>
      </c>
      <c r="AN18" s="3" t="inlineStr"/>
      <c r="AO18" s="5" t="n">
        <v>0</v>
      </c>
      <c r="AP18" s="5" t="n">
        <v>0</v>
      </c>
      <c r="AQ18" s="3" t="inlineStr"/>
    </row>
    <row r="19">
      <c r="A19" s="3" t="inlineStr">
        <is>
          <t>18</t>
        </is>
      </c>
      <c r="B19" s="3" t="inlineStr">
        <is>
          <t>NGS 260018</t>
        </is>
      </c>
      <c r="C19" s="4" t="n">
        <v>46042</v>
      </c>
      <c r="D19" s="3" t="inlineStr">
        <is>
          <t>January- 2026</t>
        </is>
      </c>
      <c r="E19" s="4" t="n">
        <v>46043</v>
      </c>
      <c r="F19" s="3" t="inlineStr">
        <is>
          <t>Sudharson Narayanan</t>
        </is>
      </c>
      <c r="G19" s="3" t="inlineStr">
        <is>
          <t>Symbiont Life Sciences</t>
        </is>
      </c>
      <c r="H19" s="3" t="inlineStr">
        <is>
          <t>Symbiont Life Sciences</t>
        </is>
      </c>
      <c r="I19" s="3" t="inlineStr">
        <is>
          <t>symbiontcs@gmail.com</t>
        </is>
      </c>
      <c r="J19" s="3" t="inlineStr">
        <is>
          <t>8838222756</t>
        </is>
      </c>
      <c r="K19" s="3" t="inlineStr">
        <is>
          <t>Transcriptome Sequencing &amp; Analysis On Illumina Novaseq X Plus Platform</t>
        </is>
      </c>
      <c r="L19" s="3" t="inlineStr">
        <is>
          <t>Leaf</t>
        </is>
      </c>
      <c r="M19" s="3" t="inlineStr">
        <is>
          <t>Wts Seq</t>
        </is>
      </c>
      <c r="N19" s="3" t="inlineStr">
        <is>
          <t xml:space="preserve">With Analysis </t>
        </is>
      </c>
      <c r="O19" s="3" t="n">
        <v>4</v>
      </c>
      <c r="P19" s="3" t="inlineStr">
        <is>
          <t>12 GB/Sample</t>
        </is>
      </c>
      <c r="Q19" s="3" t="n">
        <v>12</v>
      </c>
      <c r="R19" s="3" t="n">
        <v>48</v>
      </c>
      <c r="S19" s="3" t="n">
        <v>16000</v>
      </c>
      <c r="T19" s="5" t="n">
        <v>64000</v>
      </c>
      <c r="U19" s="5" t="n">
        <v>11520</v>
      </c>
      <c r="V19" s="5" t="n">
        <v>75520</v>
      </c>
      <c r="W19" s="3" t="inlineStr">
        <is>
          <t>UG/NGS/TP/2311122</t>
        </is>
      </c>
      <c r="X19" s="3" t="inlineStr">
        <is>
          <t xml:space="preserve">South -2 </t>
        </is>
      </c>
      <c r="Y19" s="3" t="inlineStr">
        <is>
          <t>Tamil Nadu</t>
        </is>
      </c>
      <c r="Z19" s="3" t="inlineStr">
        <is>
          <t>Chennai</t>
        </is>
      </c>
      <c r="AA19" s="3" t="n">
        <v>4</v>
      </c>
      <c r="AB19" s="3" t="n">
        <v>0</v>
      </c>
      <c r="AC19" s="4" t="n">
        <v>46051</v>
      </c>
      <c r="AD19" s="3" t="n">
        <v>8</v>
      </c>
      <c r="AE19" s="3" t="inlineStr">
        <is>
          <t>103</t>
        </is>
      </c>
      <c r="AF19" s="3" t="inlineStr"/>
      <c r="AG19" s="4" t="n">
        <v>46085</v>
      </c>
      <c r="AH19" s="3" t="inlineStr">
        <is>
          <t>UPL/GEN/386/2526</t>
        </is>
      </c>
      <c r="AI19" s="4" t="n">
        <v>46100</v>
      </c>
      <c r="AJ19" s="3" t="inlineStr">
        <is>
          <t xml:space="preserve"> Project Closure</t>
        </is>
      </c>
      <c r="AK19" s="5" t="n">
        <v>64000</v>
      </c>
      <c r="AL19" s="5" t="n">
        <v>11520</v>
      </c>
      <c r="AM19" s="5" t="n">
        <v>75520</v>
      </c>
      <c r="AN19" s="3" t="n">
        <v>119</v>
      </c>
      <c r="AO19" s="5" t="n">
        <v>75520</v>
      </c>
      <c r="AP19" s="5" t="n">
        <v>0</v>
      </c>
      <c r="AQ19" s="4" t="n">
        <v>46071</v>
      </c>
    </row>
    <row r="20">
      <c r="A20" s="3" t="inlineStr">
        <is>
          <t>19</t>
        </is>
      </c>
      <c r="B20" s="3" t="inlineStr">
        <is>
          <t>NGS 260019</t>
        </is>
      </c>
      <c r="C20" s="4" t="n">
        <v>46042</v>
      </c>
      <c r="D20" s="3" t="inlineStr">
        <is>
          <t>January- 2026</t>
        </is>
      </c>
      <c r="E20" s="4" t="n">
        <v>46043</v>
      </c>
      <c r="F20" s="3" t="inlineStr">
        <is>
          <t>Sudharson Narayanan</t>
        </is>
      </c>
      <c r="G20" s="3" t="inlineStr">
        <is>
          <t>Symbiont Life Sciences</t>
        </is>
      </c>
      <c r="H20" s="3" t="inlineStr">
        <is>
          <t>Symbiont Life Sciences</t>
        </is>
      </c>
      <c r="I20" s="3" t="inlineStr">
        <is>
          <t>symbiontcs@gmail.com</t>
        </is>
      </c>
      <c r="J20" s="3" t="inlineStr">
        <is>
          <t>8838222756</t>
        </is>
      </c>
      <c r="K20" s="3" t="inlineStr">
        <is>
          <t>Transcriptome Sequencing &amp; Analysis On Illumina Novaseq X Plus Platform</t>
        </is>
      </c>
      <c r="L20" s="3" t="inlineStr">
        <is>
          <t>RNA</t>
        </is>
      </c>
      <c r="M20" s="3" t="inlineStr">
        <is>
          <t>Wts Seq</t>
        </is>
      </c>
      <c r="N20" s="3" t="inlineStr">
        <is>
          <t xml:space="preserve">With Analysis </t>
        </is>
      </c>
      <c r="O20" s="3" t="n">
        <v>9</v>
      </c>
      <c r="P20" s="3" t="inlineStr">
        <is>
          <t>8-9 GB /sample</t>
        </is>
      </c>
      <c r="Q20" s="3" t="n">
        <v>9</v>
      </c>
      <c r="R20" s="3" t="n">
        <v>81</v>
      </c>
      <c r="S20" s="3" t="n">
        <v>13000</v>
      </c>
      <c r="T20" s="5" t="n">
        <v>117000</v>
      </c>
      <c r="U20" s="5" t="n">
        <v>21060</v>
      </c>
      <c r="V20" s="5" t="n">
        <v>138060</v>
      </c>
      <c r="W20" s="3" t="inlineStr">
        <is>
          <t>UG/NGS/TP/2409987R2</t>
        </is>
      </c>
      <c r="X20" s="3" t="inlineStr">
        <is>
          <t xml:space="preserve">South -2 </t>
        </is>
      </c>
      <c r="Y20" s="3" t="inlineStr">
        <is>
          <t>Tamil Nadu</t>
        </is>
      </c>
      <c r="Z20" s="3" t="inlineStr">
        <is>
          <t>Chennai</t>
        </is>
      </c>
      <c r="AA20" s="3" t="n">
        <v>4</v>
      </c>
      <c r="AB20" s="3" t="n">
        <v>5</v>
      </c>
      <c r="AC20" s="4" t="n">
        <v>46049</v>
      </c>
      <c r="AD20" s="3" t="n">
        <v>6</v>
      </c>
      <c r="AE20" s="3" t="inlineStr">
        <is>
          <t>106</t>
        </is>
      </c>
      <c r="AF20" s="3" t="inlineStr"/>
      <c r="AG20" s="3" t="inlineStr"/>
      <c r="AH20" s="3" t="inlineStr"/>
      <c r="AI20" s="3" t="inlineStr"/>
      <c r="AJ20" s="3" t="inlineStr"/>
      <c r="AK20" s="5" t="n">
        <v>52000</v>
      </c>
      <c r="AL20" s="5" t="n">
        <v>9360</v>
      </c>
      <c r="AM20" s="5" t="n">
        <v>61360</v>
      </c>
      <c r="AN20" s="3" t="inlineStr"/>
      <c r="AO20" s="5" t="n">
        <v>0</v>
      </c>
      <c r="AP20" s="5" t="n">
        <v>-61360</v>
      </c>
      <c r="AQ20" s="3" t="inlineStr"/>
    </row>
    <row r="21">
      <c r="A21" s="3" t="inlineStr">
        <is>
          <t>20</t>
        </is>
      </c>
      <c r="B21" s="3" t="inlineStr">
        <is>
          <t>NGS 260020</t>
        </is>
      </c>
      <c r="C21" s="4" t="n">
        <v>46042</v>
      </c>
      <c r="D21" s="3" t="inlineStr">
        <is>
          <t>January- 2026</t>
        </is>
      </c>
      <c r="E21" s="4" t="n">
        <v>46043</v>
      </c>
      <c r="F21" s="3" t="inlineStr">
        <is>
          <t>Sudharson Narayanan</t>
        </is>
      </c>
      <c r="G21" s="3" t="inlineStr">
        <is>
          <t>Symbiont Life Sciences</t>
        </is>
      </c>
      <c r="H21" s="3" t="inlineStr">
        <is>
          <t>Symbiont Life Sciences</t>
        </is>
      </c>
      <c r="I21" s="3" t="inlineStr">
        <is>
          <t>symbiontcs@gmail.com</t>
        </is>
      </c>
      <c r="J21" s="3" t="inlineStr">
        <is>
          <t>8838222756</t>
        </is>
      </c>
      <c r="K21" s="3" t="inlineStr">
        <is>
          <t>Mitochondrial Genome Sequencing &amp; Analysis On Illumina Platforms</t>
        </is>
      </c>
      <c r="L21" s="3" t="inlineStr">
        <is>
          <t>Tissue Sample In 1X Pbs</t>
        </is>
      </c>
      <c r="M21" s="3" t="inlineStr">
        <is>
          <t>Mito Seq</t>
        </is>
      </c>
      <c r="N21" s="3" t="inlineStr">
        <is>
          <t xml:space="preserve">With Analysis </t>
        </is>
      </c>
      <c r="O21" s="3" t="n">
        <v>1</v>
      </c>
      <c r="P21" s="3" t="inlineStr">
        <is>
          <t>3 GB/sample</t>
        </is>
      </c>
      <c r="Q21" s="3" t="n">
        <v>3</v>
      </c>
      <c r="R21" s="3" t="n">
        <v>3</v>
      </c>
      <c r="S21" s="3" t="n">
        <v>15000</v>
      </c>
      <c r="T21" s="5" t="n">
        <v>15000</v>
      </c>
      <c r="U21" s="5" t="n">
        <v>2700</v>
      </c>
      <c r="V21" s="5" t="n">
        <v>17700</v>
      </c>
      <c r="W21" s="3" t="inlineStr">
        <is>
          <t>UG/NGS/TP/2309855</t>
        </is>
      </c>
      <c r="X21" s="3" t="inlineStr">
        <is>
          <t xml:space="preserve">South -2 </t>
        </is>
      </c>
      <c r="Y21" s="3" t="inlineStr">
        <is>
          <t>Tamil Nadu</t>
        </is>
      </c>
      <c r="Z21" s="3" t="inlineStr">
        <is>
          <t>Chennai</t>
        </is>
      </c>
      <c r="AA21" s="3" t="n">
        <v>1</v>
      </c>
      <c r="AB21" s="3" t="n">
        <v>0</v>
      </c>
      <c r="AC21" s="4" t="n">
        <v>46057</v>
      </c>
      <c r="AD21" s="3" t="n">
        <v>14</v>
      </c>
      <c r="AE21" s="3" t="inlineStr">
        <is>
          <t>103 &amp; 104</t>
        </is>
      </c>
      <c r="AF21" s="3" t="inlineStr"/>
      <c r="AG21" s="4" t="n">
        <v>46120</v>
      </c>
      <c r="AH21" s="3" t="inlineStr">
        <is>
          <t>UPL/GEN/2627/53</t>
        </is>
      </c>
      <c r="AI21" s="4" t="n">
        <v>46192</v>
      </c>
      <c r="AJ21" s="3" t="inlineStr">
        <is>
          <t xml:space="preserve"> Project Closure</t>
        </is>
      </c>
      <c r="AK21" s="5" t="n">
        <v>15000</v>
      </c>
      <c r="AL21" s="5" t="n">
        <v>2700</v>
      </c>
      <c r="AM21" s="5" t="n">
        <v>17700</v>
      </c>
      <c r="AN21" s="3" t="n">
        <v>27</v>
      </c>
      <c r="AO21" s="5" t="n">
        <v>17700</v>
      </c>
      <c r="AP21" s="5" t="n">
        <v>0</v>
      </c>
      <c r="AQ21" s="4" t="n">
        <v>46120</v>
      </c>
    </row>
    <row r="22">
      <c r="A22" s="3" t="inlineStr">
        <is>
          <t>21</t>
        </is>
      </c>
      <c r="B22" s="3" t="inlineStr">
        <is>
          <t>NGS 260021</t>
        </is>
      </c>
      <c r="C22" s="4" t="n">
        <v>46038</v>
      </c>
      <c r="D22" s="3" t="inlineStr">
        <is>
          <t>January- 2026</t>
        </is>
      </c>
      <c r="E22" s="4" t="n">
        <v>46041</v>
      </c>
      <c r="F22" s="3" t="inlineStr">
        <is>
          <t>Dr. Juhi Tayal</t>
        </is>
      </c>
      <c r="G22" s="3" t="inlineStr">
        <is>
          <t>Rgcirc, Delhi</t>
        </is>
      </c>
      <c r="H22" s="3" t="inlineStr">
        <is>
          <t>Rgcirc, Delhi</t>
        </is>
      </c>
      <c r="I22" s="3" t="inlineStr">
        <is>
          <t>juhitayal76@gmail.com</t>
        </is>
      </c>
      <c r="J22" s="3" t="inlineStr"/>
      <c r="K22" s="3" t="inlineStr">
        <is>
          <t>Mrna Sequencing On Illumina Novaseq X Plus Platform</t>
        </is>
      </c>
      <c r="L22" s="3" t="inlineStr">
        <is>
          <t>Human Tissue</t>
        </is>
      </c>
      <c r="M22" s="3" t="inlineStr">
        <is>
          <t>RNA Seq</t>
        </is>
      </c>
      <c r="N22" s="3" t="inlineStr">
        <is>
          <t>Without Analysis</t>
        </is>
      </c>
      <c r="O22" s="3" t="n">
        <v>50</v>
      </c>
      <c r="P22" s="3" t="inlineStr">
        <is>
          <t>8-9 GB/Sample</t>
        </is>
      </c>
      <c r="Q22" s="3" t="n">
        <v>9</v>
      </c>
      <c r="R22" s="3" t="n">
        <v>450</v>
      </c>
      <c r="S22" s="3" t="n">
        <v>11000</v>
      </c>
      <c r="T22" s="5" t="n">
        <v>550000</v>
      </c>
      <c r="U22" s="5" t="n">
        <v>99000</v>
      </c>
      <c r="V22" s="5" t="n">
        <v>649000</v>
      </c>
      <c r="W22" s="3" t="inlineStr">
        <is>
          <t>UG/NGS/TP/2509140R1</t>
        </is>
      </c>
      <c r="X22" s="3" t="inlineStr">
        <is>
          <t xml:space="preserve">Harsh </t>
        </is>
      </c>
      <c r="Y22" s="3" t="inlineStr">
        <is>
          <t>Delhi</t>
        </is>
      </c>
      <c r="Z22" s="3" t="inlineStr">
        <is>
          <t>Delhi</t>
        </is>
      </c>
      <c r="AA22" s="3" t="n">
        <v>47</v>
      </c>
      <c r="AB22" s="3" t="n">
        <v>3</v>
      </c>
      <c r="AC22" s="4" t="n">
        <v>46045</v>
      </c>
      <c r="AD22" s="3" t="n">
        <v>4</v>
      </c>
      <c r="AE22" s="3" t="inlineStr">
        <is>
          <t>103</t>
        </is>
      </c>
      <c r="AF22" s="4" t="n">
        <v>46071</v>
      </c>
      <c r="AG22" s="3" t="inlineStr"/>
      <c r="AH22" s="3" t="inlineStr">
        <is>
          <t>UPL/GEN/341/2526</t>
        </is>
      </c>
      <c r="AI22" s="3" t="inlineStr"/>
      <c r="AJ22" s="3" t="inlineStr">
        <is>
          <t xml:space="preserve"> Project Closure</t>
        </is>
      </c>
      <c r="AK22" s="5" t="n">
        <v>517000</v>
      </c>
      <c r="AL22" s="5" t="n">
        <v>93060</v>
      </c>
      <c r="AM22" s="5" t="n">
        <v>610060</v>
      </c>
      <c r="AN22" s="3" t="n">
        <v>46219</v>
      </c>
      <c r="AO22" s="5" t="n">
        <v>610060</v>
      </c>
      <c r="AP22" s="5" t="n">
        <v>0</v>
      </c>
      <c r="AQ22" s="3" t="inlineStr"/>
    </row>
    <row r="23">
      <c r="A23" s="3" t="inlineStr">
        <is>
          <t>22</t>
        </is>
      </c>
      <c r="B23" s="3" t="inlineStr">
        <is>
          <t>NGS 260022</t>
        </is>
      </c>
      <c r="C23" s="4" t="n">
        <v>46043</v>
      </c>
      <c r="D23" s="3" t="inlineStr">
        <is>
          <t>January- 2026</t>
        </is>
      </c>
      <c r="E23" s="4" t="n">
        <v>46044</v>
      </c>
      <c r="F23" s="3" t="inlineStr">
        <is>
          <t>Dr. Chozhavel Rajanathan. T. M</t>
        </is>
      </c>
      <c r="G23" s="3" t="inlineStr">
        <is>
          <t>Intas Pharmaceuticals</t>
        </is>
      </c>
      <c r="H23" s="3" t="inlineStr">
        <is>
          <t>Intas Pharmaceuticals</t>
        </is>
      </c>
      <c r="I23" s="3" t="inlineStr">
        <is>
          <t>Chozhavel_Rajanathan@intaspharma.com</t>
        </is>
      </c>
      <c r="J23" s="3" t="inlineStr"/>
      <c r="K23" s="3" t="inlineStr">
        <is>
          <t>Plasmid Whole Genome Sequencing &amp; Analysis On Illumina Novaseq X Plus Platform</t>
        </is>
      </c>
      <c r="L23" s="3" t="inlineStr">
        <is>
          <t>DNA</t>
        </is>
      </c>
      <c r="M23" s="3" t="inlineStr">
        <is>
          <t>Plasmid Wgs</t>
        </is>
      </c>
      <c r="N23" s="3" t="inlineStr">
        <is>
          <t xml:space="preserve">With Analysis </t>
        </is>
      </c>
      <c r="O23" s="3" t="n">
        <v>3</v>
      </c>
      <c r="P23" s="3" t="inlineStr">
        <is>
          <t>1 GB/Sample</t>
        </is>
      </c>
      <c r="Q23" s="3" t="n">
        <v>1</v>
      </c>
      <c r="R23" s="3" t="n">
        <v>3</v>
      </c>
      <c r="S23" s="3" t="n">
        <v>14000</v>
      </c>
      <c r="T23" s="5" t="n">
        <v>42000</v>
      </c>
      <c r="U23" s="5" t="n">
        <v>7560</v>
      </c>
      <c r="V23" s="5" t="n">
        <v>49560</v>
      </c>
      <c r="W23" s="3" t="inlineStr">
        <is>
          <t>UG/NGS/TP/2509172</t>
        </is>
      </c>
      <c r="X23" s="3" t="inlineStr">
        <is>
          <t>Ishan</t>
        </is>
      </c>
      <c r="Y23" s="3" t="inlineStr">
        <is>
          <t>Gujarat</t>
        </is>
      </c>
      <c r="Z23" s="3" t="inlineStr">
        <is>
          <t>Ahmedabad</t>
        </is>
      </c>
      <c r="AA23" s="3" t="n">
        <v>3</v>
      </c>
      <c r="AB23" s="3" t="n">
        <v>0</v>
      </c>
      <c r="AC23" s="3" t="inlineStr"/>
      <c r="AD23" s="3" t="inlineStr"/>
      <c r="AE23" s="3" t="inlineStr">
        <is>
          <t>99</t>
        </is>
      </c>
      <c r="AF23" s="3" t="inlineStr"/>
      <c r="AG23" s="4" t="n">
        <v>46063</v>
      </c>
      <c r="AH23" s="3" t="inlineStr"/>
      <c r="AI23" s="3" t="inlineStr"/>
      <c r="AJ23" s="3" t="inlineStr">
        <is>
          <t xml:space="preserve"> Project Closure</t>
        </is>
      </c>
      <c r="AK23" s="5" t="n">
        <v>42000</v>
      </c>
      <c r="AL23" s="5" t="n">
        <v>7560</v>
      </c>
      <c r="AM23" s="5" t="n">
        <v>49560</v>
      </c>
      <c r="AN23" s="3" t="n">
        <v>46219</v>
      </c>
      <c r="AO23" s="5" t="n">
        <v>0</v>
      </c>
      <c r="AP23" s="5" t="n">
        <v>-49560</v>
      </c>
      <c r="AQ23" s="3" t="inlineStr"/>
    </row>
    <row r="24">
      <c r="A24" s="3" t="inlineStr">
        <is>
          <t>23</t>
        </is>
      </c>
      <c r="B24" s="3" t="inlineStr">
        <is>
          <t>NGS 260023</t>
        </is>
      </c>
      <c r="C24" s="4" t="n">
        <v>46043</v>
      </c>
      <c r="D24" s="3" t="inlineStr">
        <is>
          <t>January- 2026</t>
        </is>
      </c>
      <c r="E24" s="4" t="n">
        <v>46051</v>
      </c>
      <c r="F24" s="3" t="inlineStr">
        <is>
          <t>Abhishek Tripathi</t>
        </is>
      </c>
      <c r="G24" s="3" t="inlineStr">
        <is>
          <t>Novelgene Technology Private Limited</t>
        </is>
      </c>
      <c r="H24" s="3" t="inlineStr">
        <is>
          <t>Novelgene Technology Private Limited</t>
        </is>
      </c>
      <c r="I24" s="3" t="inlineStr">
        <is>
          <t>abhishek@novelgenetech.com</t>
        </is>
      </c>
      <c r="J24" s="3" t="inlineStr">
        <is>
          <t>89777 41872</t>
        </is>
      </c>
      <c r="K24" s="3" t="inlineStr">
        <is>
          <t>Transcriptome Sequencing On Illumina Novaseq X Plus Platform</t>
        </is>
      </c>
      <c r="L24" s="3" t="inlineStr">
        <is>
          <t>Leaf Tissue</t>
        </is>
      </c>
      <c r="M24" s="3" t="inlineStr">
        <is>
          <t>Wts Seq</t>
        </is>
      </c>
      <c r="N24" s="3" t="inlineStr">
        <is>
          <t>Without Analysis</t>
        </is>
      </c>
      <c r="O24" s="3" t="n">
        <v>9</v>
      </c>
      <c r="P24" s="3" t="inlineStr">
        <is>
          <t>5 GB/Sample</t>
        </is>
      </c>
      <c r="Q24" s="3" t="n">
        <v>5</v>
      </c>
      <c r="R24" s="3" t="n">
        <v>45</v>
      </c>
      <c r="S24" s="3" t="n">
        <v>9000</v>
      </c>
      <c r="T24" s="5" t="n">
        <v>81000</v>
      </c>
      <c r="U24" s="5" t="n">
        <v>14580</v>
      </c>
      <c r="V24" s="5" t="n">
        <v>95580</v>
      </c>
      <c r="W24" s="3" t="inlineStr">
        <is>
          <t>UG/NGS/TP/2601477</t>
        </is>
      </c>
      <c r="X24" s="3" t="inlineStr">
        <is>
          <t xml:space="preserve">Harsh </t>
        </is>
      </c>
      <c r="Y24" s="3" t="inlineStr">
        <is>
          <t>Telangana</t>
        </is>
      </c>
      <c r="Z24" s="3" t="inlineStr">
        <is>
          <t>Hyderabad</t>
        </is>
      </c>
      <c r="AA24" s="3" t="n">
        <v>9</v>
      </c>
      <c r="AB24" s="3" t="n">
        <v>0</v>
      </c>
      <c r="AC24" s="4" t="n">
        <v>46051</v>
      </c>
      <c r="AD24" s="3" t="n">
        <v>0</v>
      </c>
      <c r="AE24" s="3" t="inlineStr">
        <is>
          <t>103</t>
        </is>
      </c>
      <c r="AF24" s="4" t="n">
        <v>46081</v>
      </c>
      <c r="AG24" s="3" t="inlineStr"/>
      <c r="AH24" s="3" t="inlineStr">
        <is>
          <t>UPL/GEN/442/2526</t>
        </is>
      </c>
      <c r="AI24" s="4" t="n">
        <v>46112</v>
      </c>
      <c r="AJ24" s="3" t="inlineStr">
        <is>
          <t xml:space="preserve"> Project Closure</t>
        </is>
      </c>
      <c r="AK24" s="5" t="n">
        <v>81000</v>
      </c>
      <c r="AL24" s="5" t="n">
        <v>14580</v>
      </c>
      <c r="AM24" s="5" t="n">
        <v>95580</v>
      </c>
      <c r="AN24" s="3" t="n">
        <v>107</v>
      </c>
      <c r="AO24" s="5" t="n">
        <v>0</v>
      </c>
      <c r="AP24" s="5" t="n">
        <v>-95580</v>
      </c>
      <c r="AQ24" s="3" t="inlineStr"/>
    </row>
    <row r="25">
      <c r="A25" s="3" t="inlineStr">
        <is>
          <t>24</t>
        </is>
      </c>
      <c r="B25" s="3" t="inlineStr">
        <is>
          <t>NGS 260024</t>
        </is>
      </c>
      <c r="C25" s="4" t="n">
        <v>46043</v>
      </c>
      <c r="D25" s="3" t="inlineStr">
        <is>
          <t>January- 2026</t>
        </is>
      </c>
      <c r="E25" s="4" t="n">
        <v>46081</v>
      </c>
      <c r="F25" s="3" t="inlineStr">
        <is>
          <t>Dr.Jyoti Devi</t>
        </is>
      </c>
      <c r="G25" s="3" t="inlineStr">
        <is>
          <t>ICAR-Iivr, Varanasi</t>
        </is>
      </c>
      <c r="H25" s="3" t="inlineStr">
        <is>
          <t>ICAR-Iivr, Varanasi</t>
        </is>
      </c>
      <c r="I25" s="3" t="inlineStr">
        <is>
          <t>jyoti17iivr@gmail.com</t>
        </is>
      </c>
      <c r="J25" s="3" t="inlineStr"/>
      <c r="K25" s="3" t="inlineStr">
        <is>
          <t>Bulk Segregate RNA (Bsr) Sequencing On Illumina Novaseq X Plus Platform</t>
        </is>
      </c>
      <c r="L25" s="3" t="inlineStr">
        <is>
          <t>Leaf</t>
        </is>
      </c>
      <c r="M25" s="3" t="inlineStr">
        <is>
          <t>Bulk RNA</t>
        </is>
      </c>
      <c r="N25" s="3" t="inlineStr">
        <is>
          <t>Without Analysis</t>
        </is>
      </c>
      <c r="O25" s="3" t="n">
        <v>8</v>
      </c>
      <c r="P25" s="3" t="inlineStr">
        <is>
          <t>10-12 GB/Sample</t>
        </is>
      </c>
      <c r="Q25" s="3" t="n">
        <v>10</v>
      </c>
      <c r="R25" s="3" t="n">
        <v>80</v>
      </c>
      <c r="S25" s="3" t="n">
        <v>14000</v>
      </c>
      <c r="T25" s="5" t="n">
        <v>112000</v>
      </c>
      <c r="U25" s="5" t="n">
        <v>20160</v>
      </c>
      <c r="V25" s="5" t="n">
        <v>132160</v>
      </c>
      <c r="W25" s="3" t="inlineStr">
        <is>
          <t>UG/NGS/TP/2511324R1</t>
        </is>
      </c>
      <c r="X25" s="3" t="inlineStr">
        <is>
          <t xml:space="preserve">Harsh </t>
        </is>
      </c>
      <c r="Y25" s="3" t="inlineStr">
        <is>
          <t>Up</t>
        </is>
      </c>
      <c r="Z25" s="3" t="inlineStr">
        <is>
          <t>Varanasi</t>
        </is>
      </c>
      <c r="AA25" s="3" t="n">
        <v>8</v>
      </c>
      <c r="AB25" s="3" t="n">
        <v>0</v>
      </c>
      <c r="AC25" s="4" t="n">
        <v>46100</v>
      </c>
      <c r="AD25" s="3" t="n">
        <v>19</v>
      </c>
      <c r="AE25" s="3" t="inlineStr">
        <is>
          <t>122</t>
        </is>
      </c>
      <c r="AF25" s="3" t="inlineStr"/>
      <c r="AG25" s="3" t="inlineStr"/>
      <c r="AH25" s="3" t="inlineStr">
        <is>
          <t>UPL/GEN/370/2526</t>
        </is>
      </c>
      <c r="AI25" s="4" t="n">
        <v>46098</v>
      </c>
      <c r="AJ25" s="3" t="inlineStr">
        <is>
          <t xml:space="preserve"> Project Closure</t>
        </is>
      </c>
      <c r="AK25" s="5" t="n">
        <v>112000</v>
      </c>
      <c r="AL25" s="5" t="n">
        <v>20160</v>
      </c>
      <c r="AM25" s="5" t="n">
        <v>132160</v>
      </c>
      <c r="AN25" s="3" t="n">
        <v>121</v>
      </c>
      <c r="AO25" s="5" t="n">
        <v>132160</v>
      </c>
      <c r="AP25" s="5" t="n">
        <v>0</v>
      </c>
      <c r="AQ25" s="4" t="n">
        <v>46111</v>
      </c>
    </row>
    <row r="26">
      <c r="A26" s="3" t="inlineStr">
        <is>
          <t>25</t>
        </is>
      </c>
      <c r="B26" s="3" t="inlineStr">
        <is>
          <t>NGS 260025</t>
        </is>
      </c>
      <c r="C26" s="4" t="n">
        <v>46043</v>
      </c>
      <c r="D26" s="3" t="inlineStr">
        <is>
          <t>January- 2026</t>
        </is>
      </c>
      <c r="E26" s="4" t="n">
        <v>46062</v>
      </c>
      <c r="F26" s="3" t="inlineStr">
        <is>
          <t>Dr.Vidya Sagar</t>
        </is>
      </c>
      <c r="G26" s="3" t="inlineStr">
        <is>
          <t>ICAR-Iivr, Varanasi</t>
        </is>
      </c>
      <c r="H26" s="3" t="inlineStr">
        <is>
          <t>ICAR-Iivr, Varanasi</t>
        </is>
      </c>
      <c r="I26" s="3" t="inlineStr">
        <is>
          <t>'Vidya Sagar' &lt;vidya.sagarkaushal@gmail.com&gt;</t>
        </is>
      </c>
      <c r="J26" s="3" t="inlineStr"/>
      <c r="K26" s="3" t="inlineStr">
        <is>
          <t>Low Pass Whole Genome Sequencing &amp; Data Generation On Illumina Novaseq X Plus Platform</t>
        </is>
      </c>
      <c r="L26" s="3" t="inlineStr">
        <is>
          <t>Tissue</t>
        </is>
      </c>
      <c r="M26" s="3" t="inlineStr">
        <is>
          <t>Low Pass Wgs</t>
        </is>
      </c>
      <c r="N26" s="3" t="inlineStr">
        <is>
          <t xml:space="preserve">With Analysis </t>
        </is>
      </c>
      <c r="O26" s="3" t="n">
        <v>3</v>
      </c>
      <c r="P26" s="3" t="inlineStr">
        <is>
          <t>10 GB/Sample</t>
        </is>
      </c>
      <c r="Q26" s="3" t="n">
        <v>10</v>
      </c>
      <c r="R26" s="3" t="n">
        <v>30</v>
      </c>
      <c r="S26" s="3" t="inlineStr"/>
      <c r="T26" s="5" t="n">
        <v>27300</v>
      </c>
      <c r="U26" s="5" t="n">
        <v>4914</v>
      </c>
      <c r="V26" s="5" t="n">
        <v>32214</v>
      </c>
      <c r="W26" s="3" t="inlineStr">
        <is>
          <t>UG/NGS/TP/2601459</t>
        </is>
      </c>
      <c r="X26" s="3" t="inlineStr">
        <is>
          <t xml:space="preserve">Harsh </t>
        </is>
      </c>
      <c r="Y26" s="3" t="inlineStr">
        <is>
          <t>Up</t>
        </is>
      </c>
      <c r="Z26" s="3" t="inlineStr">
        <is>
          <t>Varanasi</t>
        </is>
      </c>
      <c r="AA26" s="3" t="n">
        <v>3</v>
      </c>
      <c r="AB26" s="3" t="n">
        <v>0</v>
      </c>
      <c r="AC26" s="4" t="n">
        <v>46067</v>
      </c>
      <c r="AD26" s="3" t="n">
        <v>5</v>
      </c>
      <c r="AE26" s="3" t="inlineStr">
        <is>
          <t>106</t>
        </is>
      </c>
      <c r="AF26" s="3" t="inlineStr"/>
      <c r="AG26" s="4" t="n">
        <v>46121</v>
      </c>
      <c r="AH26" s="3" t="inlineStr">
        <is>
          <t>UPL/GEN/372/2526</t>
        </is>
      </c>
      <c r="AI26" s="4" t="n">
        <v>46099</v>
      </c>
      <c r="AJ26" s="3" t="inlineStr">
        <is>
          <t xml:space="preserve"> Project Closure</t>
        </is>
      </c>
      <c r="AK26" s="5" t="n">
        <v>27300</v>
      </c>
      <c r="AL26" s="5" t="n">
        <v>4914</v>
      </c>
      <c r="AM26" s="5" t="n">
        <v>32214</v>
      </c>
      <c r="AN26" s="3" t="n">
        <v>120</v>
      </c>
      <c r="AO26" s="5" t="n">
        <v>32214</v>
      </c>
      <c r="AP26" s="5" t="n">
        <v>0</v>
      </c>
      <c r="AQ26" s="4" t="n">
        <v>46108</v>
      </c>
    </row>
    <row r="27">
      <c r="A27" s="3" t="inlineStr">
        <is>
          <t>26</t>
        </is>
      </c>
      <c r="B27" s="3" t="inlineStr">
        <is>
          <t>NGS 260026</t>
        </is>
      </c>
      <c r="C27" s="4" t="n">
        <v>46043</v>
      </c>
      <c r="D27" s="3" t="inlineStr">
        <is>
          <t>January- 2026</t>
        </is>
      </c>
      <c r="E27" s="4" t="n">
        <v>46081</v>
      </c>
      <c r="F27" s="3" t="inlineStr">
        <is>
          <t>Sudharson Narayanan</t>
        </is>
      </c>
      <c r="G27" s="3" t="inlineStr">
        <is>
          <t>Symbiont Life Sciences</t>
        </is>
      </c>
      <c r="H27" s="3" t="inlineStr">
        <is>
          <t>Symbiont Life Sciences</t>
        </is>
      </c>
      <c r="I27" s="3" t="inlineStr">
        <is>
          <t>symbiontcs@gmail.com</t>
        </is>
      </c>
      <c r="J27" s="3" t="inlineStr">
        <is>
          <t>8838222756</t>
        </is>
      </c>
      <c r="K27" s="3" t="inlineStr">
        <is>
          <t>16S Rrna Metagenome V3-V4 Sequencing &amp; Analysis On Illumina Platforms</t>
        </is>
      </c>
      <c r="L27" s="3" t="inlineStr">
        <is>
          <t>Fish Tissue</t>
        </is>
      </c>
      <c r="M27" s="3" t="inlineStr">
        <is>
          <t>N/A</t>
        </is>
      </c>
      <c r="N27" s="3" t="inlineStr">
        <is>
          <t>With Analysis</t>
        </is>
      </c>
      <c r="O27" s="3" t="n">
        <v>2</v>
      </c>
      <c r="P27" s="3" t="inlineStr">
        <is>
          <t>1,00,000 reads/sample</t>
        </is>
      </c>
      <c r="Q27" s="3" t="inlineStr"/>
      <c r="R27" s="3" t="n">
        <v>0</v>
      </c>
      <c r="S27" s="3" t="n">
        <v>6000</v>
      </c>
      <c r="T27" s="5" t="n">
        <v>12000</v>
      </c>
      <c r="U27" s="5" t="n">
        <v>2160</v>
      </c>
      <c r="V27" s="5" t="n">
        <v>14160</v>
      </c>
      <c r="W27" s="3" t="inlineStr">
        <is>
          <t>UG/NGS/TP/2401259R1</t>
        </is>
      </c>
      <c r="X27" s="3" t="inlineStr">
        <is>
          <t xml:space="preserve">South -2 </t>
        </is>
      </c>
      <c r="Y27" s="3" t="inlineStr">
        <is>
          <t>Tamil Nadu</t>
        </is>
      </c>
      <c r="Z27" s="3" t="inlineStr">
        <is>
          <t>Chennai</t>
        </is>
      </c>
      <c r="AA27" s="3" t="n">
        <v>2</v>
      </c>
      <c r="AB27" s="3" t="n">
        <v>0</v>
      </c>
      <c r="AC27" s="4" t="n">
        <v>46134</v>
      </c>
      <c r="AD27" s="3" t="n">
        <v>53</v>
      </c>
      <c r="AE27" s="3" t="inlineStr">
        <is>
          <t>16s outsource batch-33</t>
        </is>
      </c>
      <c r="AF27" s="3" t="inlineStr"/>
      <c r="AG27" s="4" t="n">
        <v>46160</v>
      </c>
      <c r="AH27" s="3" t="inlineStr">
        <is>
          <t>UPL/GEN/2627/59</t>
        </is>
      </c>
      <c r="AI27" s="4" t="n">
        <v>46195</v>
      </c>
      <c r="AJ27" s="3" t="inlineStr">
        <is>
          <t xml:space="preserve"> Project Closure</t>
        </is>
      </c>
      <c r="AK27" s="5" t="n">
        <v>12000</v>
      </c>
      <c r="AL27" s="5" t="n">
        <v>2160</v>
      </c>
      <c r="AM27" s="5" t="n">
        <v>14160</v>
      </c>
      <c r="AN27" s="3" t="n">
        <v>24</v>
      </c>
      <c r="AO27" s="5" t="n">
        <v>14160</v>
      </c>
      <c r="AP27" s="5" t="n">
        <v>0</v>
      </c>
      <c r="AQ27" s="4" t="n">
        <v>46163</v>
      </c>
    </row>
    <row r="28">
      <c r="A28" s="3" t="inlineStr">
        <is>
          <t>27</t>
        </is>
      </c>
      <c r="B28" s="3" t="inlineStr">
        <is>
          <t>NGS 260028</t>
        </is>
      </c>
      <c r="C28" s="4" t="n">
        <v>46043</v>
      </c>
      <c r="D28" s="3" t="inlineStr">
        <is>
          <t>January- 2026</t>
        </is>
      </c>
      <c r="E28" s="3" t="inlineStr"/>
      <c r="F28" s="3" t="inlineStr">
        <is>
          <t>Treedeep</t>
        </is>
      </c>
      <c r="G28" s="3" t="inlineStr">
        <is>
          <t>Chromosome Labs Private</t>
        </is>
      </c>
      <c r="H28" s="3" t="inlineStr">
        <is>
          <t>Chromosome Labs Private</t>
        </is>
      </c>
      <c r="I28" s="3" t="inlineStr"/>
      <c r="J28" s="3" t="inlineStr"/>
      <c r="K28" s="3" t="inlineStr">
        <is>
          <t>Ready To Runlibrary Service</t>
        </is>
      </c>
      <c r="L28" s="3" t="inlineStr">
        <is>
          <t>Library</t>
        </is>
      </c>
      <c r="M28" s="3" t="inlineStr">
        <is>
          <t>R2R</t>
        </is>
      </c>
      <c r="N28" s="3" t="inlineStr">
        <is>
          <t>Without Analysis</t>
        </is>
      </c>
      <c r="O28" s="3" t="n">
        <v>1200</v>
      </c>
      <c r="P28" s="3" t="inlineStr">
        <is>
          <t>1200</t>
        </is>
      </c>
      <c r="Q28" s="3" t="inlineStr"/>
      <c r="R28" s="3" t="n">
        <v>1200</v>
      </c>
      <c r="S28" s="3" t="n">
        <v>500</v>
      </c>
      <c r="T28" s="5" t="n">
        <v>600000</v>
      </c>
      <c r="U28" s="5" t="n">
        <v>108000</v>
      </c>
      <c r="V28" s="5" t="n">
        <v>708000</v>
      </c>
      <c r="W28" s="3" t="inlineStr"/>
      <c r="X28" s="3" t="inlineStr">
        <is>
          <t>Direct</t>
        </is>
      </c>
      <c r="Y28" s="3" t="inlineStr">
        <is>
          <t>Maharashtra</t>
        </is>
      </c>
      <c r="Z28" s="3" t="inlineStr">
        <is>
          <t>West</t>
        </is>
      </c>
      <c r="AA28" s="3" t="n">
        <v>3</v>
      </c>
      <c r="AB28" s="3" t="n">
        <v>0</v>
      </c>
      <c r="AC28" s="3" t="inlineStr"/>
      <c r="AD28" s="3" t="n">
        <v>0</v>
      </c>
      <c r="AE28" s="3" t="inlineStr">
        <is>
          <t>100 &amp; 101</t>
        </is>
      </c>
      <c r="AF28" s="4" t="n">
        <v>46055</v>
      </c>
      <c r="AG28" s="3" t="inlineStr"/>
      <c r="AH28" s="3" t="inlineStr">
        <is>
          <t>UPL/GEN/2627/24</t>
        </is>
      </c>
      <c r="AI28" s="4" t="n">
        <v>46142</v>
      </c>
      <c r="AJ28" s="3" t="inlineStr">
        <is>
          <t xml:space="preserve"> Project Closure</t>
        </is>
      </c>
      <c r="AK28" s="5" t="n">
        <v>600000</v>
      </c>
      <c r="AL28" s="5" t="n">
        <v>108000</v>
      </c>
      <c r="AM28" s="5" t="n">
        <v>708000</v>
      </c>
      <c r="AN28" s="3" t="n">
        <v>77</v>
      </c>
      <c r="AO28" s="5" t="n">
        <v>708000</v>
      </c>
      <c r="AP28" s="5" t="n">
        <v>0</v>
      </c>
      <c r="AQ28" s="3" t="inlineStr"/>
    </row>
    <row r="29">
      <c r="A29" s="3" t="inlineStr">
        <is>
          <t>28</t>
        </is>
      </c>
      <c r="B29" s="3" t="inlineStr">
        <is>
          <t>NGS 260029</t>
        </is>
      </c>
      <c r="C29" s="4" t="n">
        <v>46043</v>
      </c>
      <c r="D29" s="3" t="inlineStr">
        <is>
          <t>January- 2026</t>
        </is>
      </c>
      <c r="E29" s="4" t="n">
        <v>46057</v>
      </c>
      <c r="F29" s="3" t="inlineStr">
        <is>
          <t>Sudharson Narayanan</t>
        </is>
      </c>
      <c r="G29" s="3" t="inlineStr">
        <is>
          <t>Symbiont Life Sciences</t>
        </is>
      </c>
      <c r="H29" s="3" t="inlineStr">
        <is>
          <t>Symbiont Life Sciences</t>
        </is>
      </c>
      <c r="I29" s="3" t="inlineStr">
        <is>
          <t>symbiontcs@gmail.com</t>
        </is>
      </c>
      <c r="J29" s="3" t="inlineStr">
        <is>
          <t>8838222756</t>
        </is>
      </c>
      <c r="K29" s="3" t="inlineStr">
        <is>
          <t>16S Rrna Metagenome V3-V4 Sequencing &amp; Analysis On Illumina Platforms</t>
        </is>
      </c>
      <c r="L29" s="3" t="inlineStr">
        <is>
          <t>Env</t>
        </is>
      </c>
      <c r="M29" s="3" t="inlineStr">
        <is>
          <t>16S V3-V4</t>
        </is>
      </c>
      <c r="N29" s="3" t="inlineStr">
        <is>
          <t xml:space="preserve">With Analysis </t>
        </is>
      </c>
      <c r="O29" s="3" t="n">
        <v>3</v>
      </c>
      <c r="P29" s="3" t="inlineStr">
        <is>
          <t>1,00,000 reads/sample</t>
        </is>
      </c>
      <c r="Q29" s="3" t="inlineStr"/>
      <c r="R29" s="3" t="n">
        <v>0</v>
      </c>
      <c r="S29" s="3" t="n">
        <v>6000</v>
      </c>
      <c r="T29" s="5" t="n">
        <v>18000</v>
      </c>
      <c r="U29" s="5" t="n">
        <v>3240</v>
      </c>
      <c r="V29" s="5" t="n">
        <v>21240</v>
      </c>
      <c r="W29" s="3" t="inlineStr">
        <is>
          <t>UG/NGS/TP/2303214R2</t>
        </is>
      </c>
      <c r="X29" s="3" t="inlineStr">
        <is>
          <t xml:space="preserve">South -2 </t>
        </is>
      </c>
      <c r="Y29" s="3" t="inlineStr">
        <is>
          <t>Tamil Nadu</t>
        </is>
      </c>
      <c r="Z29" s="3" t="inlineStr">
        <is>
          <t>Chennai</t>
        </is>
      </c>
      <c r="AA29" s="3" t="n">
        <v>3</v>
      </c>
      <c r="AB29" s="3" t="n">
        <v>0</v>
      </c>
      <c r="AC29" s="4" t="n">
        <v>46066</v>
      </c>
      <c r="AD29" s="3" t="n">
        <v>9</v>
      </c>
      <c r="AE29" s="3" t="inlineStr">
        <is>
          <t>16s outsource batch-32</t>
        </is>
      </c>
      <c r="AF29" s="3" t="inlineStr"/>
      <c r="AG29" s="4" t="n">
        <v>46126</v>
      </c>
      <c r="AH29" s="3" t="inlineStr"/>
      <c r="AI29" s="3" t="inlineStr"/>
      <c r="AJ29" s="3" t="inlineStr">
        <is>
          <t xml:space="preserve"> Project Closure</t>
        </is>
      </c>
      <c r="AK29" s="5" t="n">
        <v>18000</v>
      </c>
      <c r="AL29" s="5" t="n">
        <v>3240</v>
      </c>
      <c r="AM29" s="5" t="n">
        <v>21240</v>
      </c>
      <c r="AN29" s="3" t="n">
        <v>46219</v>
      </c>
      <c r="AO29" s="5" t="n">
        <v>0</v>
      </c>
      <c r="AP29" s="5" t="n">
        <v>-21240</v>
      </c>
      <c r="AQ29" s="3" t="inlineStr"/>
    </row>
    <row r="30">
      <c r="A30" s="3" t="inlineStr">
        <is>
          <t>29</t>
        </is>
      </c>
      <c r="B30" s="3" t="inlineStr">
        <is>
          <t>NGS 260030</t>
        </is>
      </c>
      <c r="C30" s="4" t="n">
        <v>46043</v>
      </c>
      <c r="D30" s="3" t="inlineStr">
        <is>
          <t>January- 2026</t>
        </is>
      </c>
      <c r="E30" s="4" t="n">
        <v>46056</v>
      </c>
      <c r="F30" s="3" t="inlineStr">
        <is>
          <t>Dr.Prashant Tembhare</t>
        </is>
      </c>
      <c r="G30" s="3" t="inlineStr">
        <is>
          <t>Tmc-Actrec</t>
        </is>
      </c>
      <c r="H30" s="3" t="inlineStr">
        <is>
          <t>Tmc-Actrec</t>
        </is>
      </c>
      <c r="I30" s="3" t="inlineStr">
        <is>
          <t xml:space="preserve">docprt@gmail.com </t>
        </is>
      </c>
      <c r="J30" s="3" t="inlineStr"/>
      <c r="K30" s="3" t="inlineStr">
        <is>
          <t>Whole Transcriptome Sequencing &amp; Analysis On Illumina Platforms</t>
        </is>
      </c>
      <c r="L30" s="3" t="inlineStr">
        <is>
          <t>RNA</t>
        </is>
      </c>
      <c r="M30" s="3" t="inlineStr">
        <is>
          <t>Wts Seq</t>
        </is>
      </c>
      <c r="N30" s="3" t="inlineStr">
        <is>
          <t xml:space="preserve">With Analysis </t>
        </is>
      </c>
      <c r="O30" s="3" t="n">
        <v>20</v>
      </c>
      <c r="P30" s="3" t="inlineStr">
        <is>
          <t>8-10 GB /sample</t>
        </is>
      </c>
      <c r="Q30" s="3" t="n">
        <v>10</v>
      </c>
      <c r="R30" s="3" t="n">
        <v>200</v>
      </c>
      <c r="S30" s="3" t="n">
        <v>16950</v>
      </c>
      <c r="T30" s="5" t="n">
        <v>339000</v>
      </c>
      <c r="U30" s="5" t="n">
        <v>61020</v>
      </c>
      <c r="V30" s="5" t="n">
        <v>400020</v>
      </c>
      <c r="W30" s="3" t="inlineStr">
        <is>
          <t>UG/NGS/TP/2501410</t>
        </is>
      </c>
      <c r="X30" s="3" t="inlineStr">
        <is>
          <t>Direct</t>
        </is>
      </c>
      <c r="Y30" s="3" t="inlineStr">
        <is>
          <t>Maharashtra</t>
        </is>
      </c>
      <c r="Z30" s="3" t="inlineStr">
        <is>
          <t>Maharashtra</t>
        </is>
      </c>
      <c r="AA30" s="3" t="n">
        <v>15</v>
      </c>
      <c r="AB30" s="3" t="n">
        <v>5</v>
      </c>
      <c r="AC30" s="4" t="n">
        <v>46057</v>
      </c>
      <c r="AD30" s="3" t="n">
        <v>1</v>
      </c>
      <c r="AE30" s="3" t="inlineStr">
        <is>
          <t>103</t>
        </is>
      </c>
      <c r="AF30" s="3" t="inlineStr"/>
      <c r="AG30" s="3" t="inlineStr"/>
      <c r="AH30" s="3" t="inlineStr"/>
      <c r="AI30" s="3" t="inlineStr"/>
      <c r="AJ30" s="3" t="inlineStr"/>
      <c r="AK30" s="5" t="n">
        <v>254250</v>
      </c>
      <c r="AL30" s="5" t="n">
        <v>45765</v>
      </c>
      <c r="AM30" s="5" t="n">
        <v>300015</v>
      </c>
      <c r="AN30" s="3" t="inlineStr"/>
      <c r="AO30" s="5" t="n">
        <v>0</v>
      </c>
      <c r="AP30" s="5" t="n">
        <v>-300015</v>
      </c>
      <c r="AQ30" s="3" t="inlineStr"/>
    </row>
    <row r="31">
      <c r="A31" s="3" t="inlineStr">
        <is>
          <t>30</t>
        </is>
      </c>
      <c r="B31" s="3" t="inlineStr">
        <is>
          <t>NGS 260031</t>
        </is>
      </c>
      <c r="C31" s="4" t="n">
        <v>46043</v>
      </c>
      <c r="D31" s="3" t="inlineStr">
        <is>
          <t>January- 2026</t>
        </is>
      </c>
      <c r="E31" s="4" t="n">
        <v>46057</v>
      </c>
      <c r="F31" s="3" t="inlineStr">
        <is>
          <t>Dr.Maitri Trivedi</t>
        </is>
      </c>
      <c r="G31" s="3" t="inlineStr">
        <is>
          <t>Gujarat University</t>
        </is>
      </c>
      <c r="H31" s="3" t="inlineStr">
        <is>
          <t>Gujarat University</t>
        </is>
      </c>
      <c r="I31" s="3" t="inlineStr">
        <is>
          <t>maitritrivedi544@gmail.com</t>
        </is>
      </c>
      <c r="J31" s="3" t="inlineStr"/>
      <c r="K31" s="3" t="inlineStr">
        <is>
          <t>Whole Genome Form Amplicon Sequencing &amp; Analysis On Illumina Novaseq X Plus Platform</t>
        </is>
      </c>
      <c r="L31" s="3" t="inlineStr">
        <is>
          <t>Amplicon</t>
        </is>
      </c>
      <c r="M31" s="3" t="inlineStr">
        <is>
          <t>Wgs Seq</t>
        </is>
      </c>
      <c r="N31" s="3" t="inlineStr">
        <is>
          <t xml:space="preserve">With Analysis </t>
        </is>
      </c>
      <c r="O31" s="3" t="n">
        <v>1</v>
      </c>
      <c r="P31" s="3" t="inlineStr">
        <is>
          <t>1 GB/sample</t>
        </is>
      </c>
      <c r="Q31" s="3" t="n">
        <v>1</v>
      </c>
      <c r="R31" s="3" t="n">
        <v>1</v>
      </c>
      <c r="S31" s="3" t="n">
        <v>12000</v>
      </c>
      <c r="T31" s="5" t="n">
        <v>12000</v>
      </c>
      <c r="U31" s="5" t="n">
        <v>2160</v>
      </c>
      <c r="V31" s="5" t="n">
        <v>14160</v>
      </c>
      <c r="W31" s="3" t="inlineStr">
        <is>
          <t>UG/NGS/TP/2601506</t>
        </is>
      </c>
      <c r="X31" s="3" t="inlineStr">
        <is>
          <t>Direct</t>
        </is>
      </c>
      <c r="Y31" s="3" t="inlineStr">
        <is>
          <t>Gujarat</t>
        </is>
      </c>
      <c r="Z31" s="3" t="inlineStr">
        <is>
          <t>Ahmedabad</t>
        </is>
      </c>
      <c r="AA31" s="3" t="n">
        <v>1</v>
      </c>
      <c r="AB31" s="3" t="n">
        <v>0</v>
      </c>
      <c r="AC31" s="4" t="n">
        <v>46064</v>
      </c>
      <c r="AD31" s="3" t="n">
        <v>7</v>
      </c>
      <c r="AE31" s="3" t="inlineStr">
        <is>
          <t>103 &amp; 104</t>
        </is>
      </c>
      <c r="AF31" s="3" t="inlineStr"/>
      <c r="AG31" s="4" t="n">
        <v>46080</v>
      </c>
      <c r="AH31" s="3" t="inlineStr">
        <is>
          <t>UPL/GEN/346/2526</t>
        </is>
      </c>
      <c r="AI31" s="4" t="n">
        <v>46090</v>
      </c>
      <c r="AJ31" s="3" t="inlineStr">
        <is>
          <t xml:space="preserve"> Project Closure</t>
        </is>
      </c>
      <c r="AK31" s="5" t="n">
        <v>12000</v>
      </c>
      <c r="AL31" s="5" t="n">
        <v>2160</v>
      </c>
      <c r="AM31" s="5" t="n">
        <v>14160</v>
      </c>
      <c r="AN31" s="3" t="n">
        <v>129</v>
      </c>
      <c r="AO31" s="5" t="n">
        <v>14160</v>
      </c>
      <c r="AP31" s="5" t="n">
        <v>0</v>
      </c>
      <c r="AQ31" s="3" t="inlineStr"/>
    </row>
    <row r="32">
      <c r="A32" s="3" t="inlineStr">
        <is>
          <t>31</t>
        </is>
      </c>
      <c r="B32" s="3" t="inlineStr">
        <is>
          <t>NGS 260032</t>
        </is>
      </c>
      <c r="C32" s="4" t="n">
        <v>46043</v>
      </c>
      <c r="D32" s="3" t="inlineStr">
        <is>
          <t>January- 2026</t>
        </is>
      </c>
      <c r="E32" s="4" t="n">
        <v>46057</v>
      </c>
      <c r="F32" s="3" t="inlineStr">
        <is>
          <t>Sudharson Narayanan</t>
        </is>
      </c>
      <c r="G32" s="3" t="inlineStr">
        <is>
          <t>Symbiont Life Sciences</t>
        </is>
      </c>
      <c r="H32" s="3" t="inlineStr">
        <is>
          <t>Symbiont Life Sciences</t>
        </is>
      </c>
      <c r="I32" s="3" t="inlineStr">
        <is>
          <t>symbiontcs@gmail.com</t>
        </is>
      </c>
      <c r="J32" s="3" t="inlineStr">
        <is>
          <t>8838222756</t>
        </is>
      </c>
      <c r="K32" s="3" t="inlineStr">
        <is>
          <t>18S RNA Sequencing &amp; Analysis On Illumina Platforms</t>
        </is>
      </c>
      <c r="L32" s="3" t="inlineStr">
        <is>
          <t>Env</t>
        </is>
      </c>
      <c r="M32" s="3" t="inlineStr">
        <is>
          <t>18S RNA Seq</t>
        </is>
      </c>
      <c r="N32" s="3" t="inlineStr">
        <is>
          <t xml:space="preserve">With Analysis </t>
        </is>
      </c>
      <c r="O32" s="3" t="n">
        <v>3</v>
      </c>
      <c r="P32" s="3" t="inlineStr">
        <is>
          <t>60,000 reads/sample</t>
        </is>
      </c>
      <c r="Q32" s="3" t="inlineStr"/>
      <c r="R32" s="3" t="n">
        <v>0</v>
      </c>
      <c r="S32" s="3" t="n">
        <v>6500</v>
      </c>
      <c r="T32" s="5" t="n">
        <v>19500</v>
      </c>
      <c r="U32" s="5" t="n">
        <v>3510</v>
      </c>
      <c r="V32" s="5" t="n">
        <v>23010</v>
      </c>
      <c r="W32" s="3" t="inlineStr">
        <is>
          <t>UG/NGS/TP/2407847R1</t>
        </is>
      </c>
      <c r="X32" s="3" t="inlineStr">
        <is>
          <t xml:space="preserve">South -2 </t>
        </is>
      </c>
      <c r="Y32" s="3" t="inlineStr">
        <is>
          <t>Tamil Nadu</t>
        </is>
      </c>
      <c r="Z32" s="3" t="inlineStr">
        <is>
          <t>Chennai</t>
        </is>
      </c>
      <c r="AA32" s="3" t="n">
        <v>3</v>
      </c>
      <c r="AB32" s="3" t="n">
        <v>0</v>
      </c>
      <c r="AC32" s="4" t="n">
        <v>46066</v>
      </c>
      <c r="AD32" s="3" t="n">
        <v>9</v>
      </c>
      <c r="AE32" s="3" t="inlineStr">
        <is>
          <t>16s outsource batch-32</t>
        </is>
      </c>
      <c r="AF32" s="3" t="inlineStr"/>
      <c r="AG32" s="4" t="n">
        <v>46067</v>
      </c>
      <c r="AH32" s="3" t="inlineStr"/>
      <c r="AI32" s="3" t="inlineStr"/>
      <c r="AJ32" s="3" t="inlineStr">
        <is>
          <t xml:space="preserve"> Project Closure</t>
        </is>
      </c>
      <c r="AK32" s="5" t="n">
        <v>19500</v>
      </c>
      <c r="AL32" s="5" t="n">
        <v>3510</v>
      </c>
      <c r="AM32" s="5" t="n">
        <v>23010</v>
      </c>
      <c r="AN32" s="3" t="n">
        <v>46219</v>
      </c>
      <c r="AO32" s="5" t="n">
        <v>0</v>
      </c>
      <c r="AP32" s="5" t="n">
        <v>-23010</v>
      </c>
      <c r="AQ32" s="3" t="inlineStr"/>
    </row>
    <row r="33">
      <c r="A33" s="3" t="inlineStr">
        <is>
          <t>32</t>
        </is>
      </c>
      <c r="B33" s="3" t="inlineStr">
        <is>
          <t>NGS 260033</t>
        </is>
      </c>
      <c r="C33" s="4" t="n">
        <v>46058</v>
      </c>
      <c r="D33" s="3" t="inlineStr">
        <is>
          <t>February- 2026</t>
        </is>
      </c>
      <c r="E33" s="4" t="n">
        <v>46062</v>
      </c>
      <c r="F33" s="3" t="inlineStr">
        <is>
          <t>Dr. Naveen Kumar Dr</t>
        </is>
      </c>
      <c r="G33" s="3" t="inlineStr">
        <is>
          <t>Bio Berrys</t>
        </is>
      </c>
      <c r="H33" s="3" t="inlineStr">
        <is>
          <t>Bio Berrys</t>
        </is>
      </c>
      <c r="I33" s="3" t="inlineStr">
        <is>
          <t>admin@bioberryshealthcare.com</t>
        </is>
      </c>
      <c r="J33" s="3" t="inlineStr"/>
      <c r="K33" s="3" t="inlineStr">
        <is>
          <t>Whole Genome Sequencing Of Illumina Novaseq 6000 Platforms</t>
        </is>
      </c>
      <c r="L33" s="3" t="inlineStr">
        <is>
          <t>Microbial Culture</t>
        </is>
      </c>
      <c r="M33" s="3" t="inlineStr">
        <is>
          <t>Wgs Seq</t>
        </is>
      </c>
      <c r="N33" s="3" t="inlineStr">
        <is>
          <t>Without Analysis</t>
        </is>
      </c>
      <c r="O33" s="3" t="n">
        <v>1</v>
      </c>
      <c r="P33" s="3" t="inlineStr">
        <is>
          <t>400-500 MB/Sample</t>
        </is>
      </c>
      <c r="Q33" s="3" t="inlineStr"/>
      <c r="R33" s="3" t="n">
        <v>0</v>
      </c>
      <c r="S33" s="3" t="n">
        <v>4000</v>
      </c>
      <c r="T33" s="5" t="n">
        <v>4000</v>
      </c>
      <c r="U33" s="5" t="n">
        <v>720</v>
      </c>
      <c r="V33" s="5" t="n">
        <v>4720</v>
      </c>
      <c r="W33" s="3" t="inlineStr">
        <is>
          <t>UG/NGS/TP/2303137</t>
        </is>
      </c>
      <c r="X33" s="3" t="inlineStr">
        <is>
          <t>Direct</t>
        </is>
      </c>
      <c r="Y33" s="3" t="inlineStr">
        <is>
          <t>Tamil Nadu</t>
        </is>
      </c>
      <c r="Z33" s="3" t="inlineStr">
        <is>
          <t>Vellore</t>
        </is>
      </c>
      <c r="AA33" s="3" t="n">
        <v>1</v>
      </c>
      <c r="AB33" s="3" t="n">
        <v>0</v>
      </c>
      <c r="AC33" s="4" t="n">
        <v>46067</v>
      </c>
      <c r="AD33" s="3" t="n">
        <v>5</v>
      </c>
      <c r="AE33" s="3" t="inlineStr">
        <is>
          <t>121</t>
        </is>
      </c>
      <c r="AF33" s="4" t="n">
        <v>46186</v>
      </c>
      <c r="AG33" s="3" t="inlineStr"/>
      <c r="AH33" s="3" t="inlineStr">
        <is>
          <t>UPL/GEN/2627/57</t>
        </is>
      </c>
      <c r="AI33" s="4" t="n">
        <v>46192</v>
      </c>
      <c r="AJ33" s="3" t="inlineStr">
        <is>
          <t xml:space="preserve"> Project Closure</t>
        </is>
      </c>
      <c r="AK33" s="5" t="n">
        <v>4000</v>
      </c>
      <c r="AL33" s="5" t="n">
        <v>720</v>
      </c>
      <c r="AM33" s="5" t="n">
        <v>4720</v>
      </c>
      <c r="AN33" s="3" t="n">
        <v>27</v>
      </c>
      <c r="AO33" s="5" t="n">
        <v>4720</v>
      </c>
      <c r="AP33" s="5" t="n">
        <v>0</v>
      </c>
      <c r="AQ33" s="4" t="n">
        <v>46184</v>
      </c>
    </row>
    <row r="34">
      <c r="A34" s="3" t="inlineStr">
        <is>
          <t>33</t>
        </is>
      </c>
      <c r="B34" s="3" t="inlineStr">
        <is>
          <t>NGS 260034</t>
        </is>
      </c>
      <c r="C34" s="4" t="n">
        <v>46058</v>
      </c>
      <c r="D34" s="3" t="inlineStr">
        <is>
          <t>February- 2026</t>
        </is>
      </c>
      <c r="E34" s="4" t="n">
        <v>46059</v>
      </c>
      <c r="F34" s="3" t="inlineStr">
        <is>
          <t>Dr. Juhi Tayal</t>
        </is>
      </c>
      <c r="G34" s="3" t="inlineStr">
        <is>
          <t>Rgcirc, Delhi</t>
        </is>
      </c>
      <c r="H34" s="3" t="inlineStr">
        <is>
          <t>Rgcirc, Delhi</t>
        </is>
      </c>
      <c r="I34" s="3" t="inlineStr">
        <is>
          <t>juhitayal76@gmail.com</t>
        </is>
      </c>
      <c r="J34" s="3" t="inlineStr"/>
      <c r="K34" s="3" t="inlineStr">
        <is>
          <t>Mrna Sequencing On Illumina Novaseq X Plus Platform</t>
        </is>
      </c>
      <c r="L34" s="3" t="inlineStr">
        <is>
          <t>Human Tissue</t>
        </is>
      </c>
      <c r="M34" s="3" t="inlineStr">
        <is>
          <t>RNA Seq</t>
        </is>
      </c>
      <c r="N34" s="3" t="inlineStr">
        <is>
          <t>Without Analysis</t>
        </is>
      </c>
      <c r="O34" s="3" t="n">
        <v>50</v>
      </c>
      <c r="P34" s="3" t="inlineStr">
        <is>
          <t>8-9 GB/Sample</t>
        </is>
      </c>
      <c r="Q34" s="3" t="n">
        <v>9</v>
      </c>
      <c r="R34" s="3" t="n">
        <v>450</v>
      </c>
      <c r="S34" s="3" t="n">
        <v>10500</v>
      </c>
      <c r="T34" s="5" t="n">
        <v>525000</v>
      </c>
      <c r="U34" s="5" t="n">
        <v>94500</v>
      </c>
      <c r="V34" s="5" t="n">
        <v>619500</v>
      </c>
      <c r="W34" s="3" t="inlineStr">
        <is>
          <t>UG/NGS/TP/2509140R1</t>
        </is>
      </c>
      <c r="X34" s="3" t="inlineStr">
        <is>
          <t xml:space="preserve">Harsh </t>
        </is>
      </c>
      <c r="Y34" s="3" t="inlineStr">
        <is>
          <t>Delhi</t>
        </is>
      </c>
      <c r="Z34" s="3" t="inlineStr">
        <is>
          <t>Delhi</t>
        </is>
      </c>
      <c r="AA34" s="3" t="n">
        <v>46</v>
      </c>
      <c r="AB34" s="3" t="n">
        <v>4</v>
      </c>
      <c r="AC34" s="4" t="n">
        <v>46069</v>
      </c>
      <c r="AD34" s="3" t="n">
        <v>10</v>
      </c>
      <c r="AE34" s="3" t="inlineStr">
        <is>
          <t>108</t>
        </is>
      </c>
      <c r="AF34" s="4" t="n">
        <v>46100</v>
      </c>
      <c r="AG34" s="3" t="inlineStr"/>
      <c r="AH34" s="3" t="inlineStr">
        <is>
          <t>UPL/GEN/266/2526</t>
        </is>
      </c>
      <c r="AI34" s="3" t="inlineStr"/>
      <c r="AJ34" s="3" t="inlineStr">
        <is>
          <t xml:space="preserve"> Project Closure</t>
        </is>
      </c>
      <c r="AK34" s="5" t="n">
        <v>483000</v>
      </c>
      <c r="AL34" s="5" t="n">
        <v>86940</v>
      </c>
      <c r="AM34" s="5" t="n">
        <v>569940</v>
      </c>
      <c r="AN34" s="3" t="n">
        <v>46219</v>
      </c>
      <c r="AO34" s="5" t="n">
        <v>569940</v>
      </c>
      <c r="AP34" s="5" t="n">
        <v>0</v>
      </c>
      <c r="AQ34" s="4" t="n">
        <v>46084</v>
      </c>
    </row>
    <row r="35">
      <c r="A35" s="3" t="inlineStr">
        <is>
          <t>34</t>
        </is>
      </c>
      <c r="B35" s="3" t="inlineStr">
        <is>
          <t>NGS 260035</t>
        </is>
      </c>
      <c r="C35" s="4" t="n">
        <v>46059</v>
      </c>
      <c r="D35" s="3" t="inlineStr">
        <is>
          <t>February- 2026</t>
        </is>
      </c>
      <c r="E35" s="4" t="n">
        <v>46062</v>
      </c>
      <c r="F35" s="3" t="inlineStr">
        <is>
          <t>Mr.Digil</t>
        </is>
      </c>
      <c r="G35" s="3" t="inlineStr">
        <is>
          <t>Geno Connect Services Private Limited</t>
        </is>
      </c>
      <c r="H35" s="3" t="inlineStr">
        <is>
          <t>Geno Connect Services Private Limited</t>
        </is>
      </c>
      <c r="I35" s="3" t="inlineStr">
        <is>
          <t>Genoconnect.pvt.ltd@gmail.com</t>
        </is>
      </c>
      <c r="J35" s="3" t="inlineStr"/>
      <c r="K35" s="3" t="inlineStr">
        <is>
          <t>Low Pass Whole Genome Sequencing On Illumina Novaseq X Plus Platform</t>
        </is>
      </c>
      <c r="L35" s="3" t="inlineStr">
        <is>
          <t>Swab Samples</t>
        </is>
      </c>
      <c r="M35" s="3" t="inlineStr">
        <is>
          <t>Low Pass</t>
        </is>
      </c>
      <c r="N35" s="3" t="inlineStr">
        <is>
          <t>Without Analysis</t>
        </is>
      </c>
      <c r="O35" s="3" t="n">
        <v>13</v>
      </c>
      <c r="P35" s="3" t="inlineStr">
        <is>
          <t>3 GB/Sample</t>
        </is>
      </c>
      <c r="Q35" s="3" t="n">
        <v>3</v>
      </c>
      <c r="R35" s="3" t="n">
        <v>39</v>
      </c>
      <c r="S35" s="3" t="n">
        <v>3000</v>
      </c>
      <c r="T35" s="5" t="n">
        <v>39000</v>
      </c>
      <c r="U35" s="5" t="n">
        <v>7020</v>
      </c>
      <c r="V35" s="5" t="n">
        <v>46020</v>
      </c>
      <c r="W35" s="3" t="inlineStr">
        <is>
          <t>UG/NGS/TP/2512388R1</t>
        </is>
      </c>
      <c r="X35" s="3" t="inlineStr">
        <is>
          <t>Direct</t>
        </is>
      </c>
      <c r="Y35" s="3" t="inlineStr">
        <is>
          <t>Kerala</t>
        </is>
      </c>
      <c r="Z35" s="3" t="inlineStr">
        <is>
          <t>N/A</t>
        </is>
      </c>
      <c r="AA35" s="3" t="n">
        <v>13</v>
      </c>
      <c r="AB35" s="3" t="n">
        <v>1</v>
      </c>
      <c r="AC35" s="4" t="n">
        <v>46073</v>
      </c>
      <c r="AD35" s="3" t="n">
        <v>11</v>
      </c>
      <c r="AE35" s="3" t="inlineStr">
        <is>
          <t>106</t>
        </is>
      </c>
      <c r="AF35" s="4" t="n">
        <v>46087</v>
      </c>
      <c r="AG35" s="3" t="inlineStr"/>
      <c r="AH35" s="3" t="inlineStr">
        <is>
          <t>UPL/GEN/389/2526</t>
        </is>
      </c>
      <c r="AI35" s="4" t="n">
        <v>46104</v>
      </c>
      <c r="AJ35" s="3" t="inlineStr">
        <is>
          <t xml:space="preserve"> Project Closure</t>
        </is>
      </c>
      <c r="AK35" s="5" t="n">
        <v>39000</v>
      </c>
      <c r="AL35" s="5" t="n">
        <v>7020</v>
      </c>
      <c r="AM35" s="5" t="n">
        <v>46020</v>
      </c>
      <c r="AN35" s="3" t="n">
        <v>115</v>
      </c>
      <c r="AO35" s="5" t="n">
        <v>46020</v>
      </c>
      <c r="AP35" s="5" t="n">
        <v>0</v>
      </c>
      <c r="AQ35" s="4" t="n">
        <v>46084</v>
      </c>
    </row>
    <row r="36">
      <c r="A36" s="3" t="inlineStr">
        <is>
          <t>35</t>
        </is>
      </c>
      <c r="B36" s="3" t="inlineStr">
        <is>
          <t>NGS 260036</t>
        </is>
      </c>
      <c r="C36" s="4" t="n">
        <v>46059</v>
      </c>
      <c r="D36" s="3" t="inlineStr">
        <is>
          <t>February- 2026</t>
        </is>
      </c>
      <c r="E36" s="4" t="n">
        <v>46059</v>
      </c>
      <c r="F36" s="3" t="inlineStr">
        <is>
          <t>Mr.Digil</t>
        </is>
      </c>
      <c r="G36" s="3" t="inlineStr">
        <is>
          <t>Geno Connect Services Private Limited</t>
        </is>
      </c>
      <c r="H36" s="3" t="inlineStr">
        <is>
          <t>Geno Connect Services Private Limited</t>
        </is>
      </c>
      <c r="I36" s="3" t="inlineStr">
        <is>
          <t>Genoconnect.pvt.ltd@gmail.com</t>
        </is>
      </c>
      <c r="J36" s="3" t="inlineStr"/>
      <c r="K36" s="3" t="inlineStr">
        <is>
          <t>Whole Genome Sequencing On Illumina Novaseq X Plus Platform</t>
        </is>
      </c>
      <c r="L36" s="3" t="inlineStr">
        <is>
          <t>Swab Samples</t>
        </is>
      </c>
      <c r="M36" s="3" t="inlineStr">
        <is>
          <t>Low Pass</t>
        </is>
      </c>
      <c r="N36" s="3" t="inlineStr">
        <is>
          <t>Without Analysis</t>
        </is>
      </c>
      <c r="O36" s="3" t="n">
        <v>1</v>
      </c>
      <c r="P36" s="3" t="inlineStr">
        <is>
          <t>90 GB/sample (30X)</t>
        </is>
      </c>
      <c r="Q36" s="3" t="n">
        <v>90</v>
      </c>
      <c r="R36" s="3" t="n">
        <v>90</v>
      </c>
      <c r="S36" s="3" t="n">
        <v>48000</v>
      </c>
      <c r="T36" s="5" t="n">
        <v>48000</v>
      </c>
      <c r="U36" s="5" t="n">
        <v>8640</v>
      </c>
      <c r="V36" s="5" t="n">
        <v>56640</v>
      </c>
      <c r="W36" s="3" t="inlineStr">
        <is>
          <t>UG/NGS/TP/2602523</t>
        </is>
      </c>
      <c r="X36" s="3" t="inlineStr">
        <is>
          <t>Direct</t>
        </is>
      </c>
      <c r="Y36" s="3" t="inlineStr">
        <is>
          <t>Kerala</t>
        </is>
      </c>
      <c r="Z36" s="3" t="inlineStr">
        <is>
          <t>N/A</t>
        </is>
      </c>
      <c r="AA36" s="3" t="n">
        <v>1</v>
      </c>
      <c r="AB36" s="3" t="n">
        <v>0</v>
      </c>
      <c r="AC36" s="4" t="n">
        <v>46073</v>
      </c>
      <c r="AD36" s="3" t="n">
        <v>14</v>
      </c>
      <c r="AE36" s="3" t="inlineStr">
        <is>
          <t>106</t>
        </is>
      </c>
      <c r="AF36" s="4" t="n">
        <v>46087</v>
      </c>
      <c r="AG36" s="3" t="inlineStr"/>
      <c r="AH36" s="3" t="inlineStr">
        <is>
          <t>UPL/GEN/390/2526</t>
        </is>
      </c>
      <c r="AI36" s="4" t="n">
        <v>46104</v>
      </c>
      <c r="AJ36" s="3" t="inlineStr">
        <is>
          <t xml:space="preserve"> Project Closure</t>
        </is>
      </c>
      <c r="AK36" s="5" t="n">
        <v>48000</v>
      </c>
      <c r="AL36" s="5" t="n">
        <v>8640</v>
      </c>
      <c r="AM36" s="5" t="n">
        <v>56640</v>
      </c>
      <c r="AN36" s="3" t="n">
        <v>115</v>
      </c>
      <c r="AO36" s="5" t="n">
        <v>56640</v>
      </c>
      <c r="AP36" s="5" t="n">
        <v>0</v>
      </c>
      <c r="AQ36" s="4" t="n">
        <v>46084</v>
      </c>
    </row>
    <row r="37">
      <c r="A37" s="3" t="inlineStr">
        <is>
          <t>36</t>
        </is>
      </c>
      <c r="B37" s="3" t="inlineStr">
        <is>
          <t>NGS 260037</t>
        </is>
      </c>
      <c r="C37" s="4" t="n">
        <v>46059</v>
      </c>
      <c r="D37" s="3" t="inlineStr">
        <is>
          <t>February- 2026</t>
        </is>
      </c>
      <c r="E37" s="4" t="n">
        <v>46063</v>
      </c>
      <c r="F37" s="3" t="inlineStr">
        <is>
          <t>Mr.Digil</t>
        </is>
      </c>
      <c r="G37" s="3" t="inlineStr">
        <is>
          <t>Geno Connect Services Private Limited</t>
        </is>
      </c>
      <c r="H37" s="3" t="inlineStr">
        <is>
          <t>Geno Connect Services Private Limited</t>
        </is>
      </c>
      <c r="I37" s="3" t="inlineStr">
        <is>
          <t>Genoconnect.pvt.ltd@gmail.com</t>
        </is>
      </c>
      <c r="J37" s="3" t="inlineStr"/>
      <c r="K37" s="3" t="inlineStr">
        <is>
          <t>Low Pass Whole Genome Sequencing On Illumina Novaseq X Plus Platform</t>
        </is>
      </c>
      <c r="L37" s="3" t="inlineStr">
        <is>
          <t>Swab Samples</t>
        </is>
      </c>
      <c r="M37" s="3" t="inlineStr">
        <is>
          <t>Low Pass</t>
        </is>
      </c>
      <c r="N37" s="3" t="inlineStr">
        <is>
          <t>Without Analysis</t>
        </is>
      </c>
      <c r="O37" s="3" t="n">
        <v>1</v>
      </c>
      <c r="P37" s="3" t="inlineStr">
        <is>
          <t>6 GB/sample (2 X Coverage)</t>
        </is>
      </c>
      <c r="Q37" s="3" t="n">
        <v>6</v>
      </c>
      <c r="R37" s="3" t="n">
        <v>6</v>
      </c>
      <c r="S37" s="3" t="n">
        <v>4200</v>
      </c>
      <c r="T37" s="5" t="n">
        <v>4200</v>
      </c>
      <c r="U37" s="5" t="n">
        <v>756</v>
      </c>
      <c r="V37" s="5" t="n">
        <v>4956</v>
      </c>
      <c r="W37" s="3" t="inlineStr">
        <is>
          <t>UG/NGS/TP/2602524</t>
        </is>
      </c>
      <c r="X37" s="3" t="inlineStr">
        <is>
          <t>Direct</t>
        </is>
      </c>
      <c r="Y37" s="3" t="inlineStr">
        <is>
          <t>Kerala</t>
        </is>
      </c>
      <c r="Z37" s="3" t="inlineStr">
        <is>
          <t>N/A</t>
        </is>
      </c>
      <c r="AA37" s="3" t="n">
        <v>1</v>
      </c>
      <c r="AB37" s="3" t="n">
        <v>0</v>
      </c>
      <c r="AC37" s="4" t="n">
        <v>46073</v>
      </c>
      <c r="AD37" s="3" t="n">
        <v>10</v>
      </c>
      <c r="AE37" s="3" t="inlineStr">
        <is>
          <t>106</t>
        </is>
      </c>
      <c r="AF37" s="4" t="n">
        <v>46087</v>
      </c>
      <c r="AG37" s="3" t="inlineStr"/>
      <c r="AH37" s="3" t="inlineStr">
        <is>
          <t>UPL/GEN/391/2526</t>
        </is>
      </c>
      <c r="AI37" s="4" t="n">
        <v>46104</v>
      </c>
      <c r="AJ37" s="3" t="inlineStr">
        <is>
          <t xml:space="preserve"> Project Closure</t>
        </is>
      </c>
      <c r="AK37" s="5" t="n">
        <v>4200</v>
      </c>
      <c r="AL37" s="5" t="n">
        <v>756</v>
      </c>
      <c r="AM37" s="5" t="n">
        <v>4956</v>
      </c>
      <c r="AN37" s="3" t="n">
        <v>115</v>
      </c>
      <c r="AO37" s="5" t="n">
        <v>4956</v>
      </c>
      <c r="AP37" s="5" t="n">
        <v>0</v>
      </c>
      <c r="AQ37" s="4" t="n">
        <v>46084</v>
      </c>
    </row>
    <row r="38">
      <c r="A38" s="3" t="inlineStr">
        <is>
          <t>37</t>
        </is>
      </c>
      <c r="B38" s="3" t="inlineStr">
        <is>
          <t>NGS 260038</t>
        </is>
      </c>
      <c r="C38" s="4" t="n">
        <v>46059</v>
      </c>
      <c r="D38" s="3" t="inlineStr">
        <is>
          <t>February- 2026</t>
        </is>
      </c>
      <c r="E38" s="4" t="n">
        <v>46062</v>
      </c>
      <c r="F38" s="3" t="inlineStr">
        <is>
          <t>Urmi Patel</t>
        </is>
      </c>
      <c r="G38" s="3" t="inlineStr">
        <is>
          <t>St Xavier’S College</t>
        </is>
      </c>
      <c r="H38" s="3" t="inlineStr">
        <is>
          <t>St Xavier’S College</t>
        </is>
      </c>
      <c r="I38" s="3" t="inlineStr">
        <is>
          <t>Urmi Patel &lt;urmi.patel1992@gmail.com&gt;</t>
        </is>
      </c>
      <c r="J38" s="3" t="inlineStr"/>
      <c r="K38" s="3" t="inlineStr">
        <is>
          <t>RNA Sequencing &amp; Analysis On Illumina Novaseq X Plus Platform</t>
        </is>
      </c>
      <c r="L38" s="3" t="inlineStr">
        <is>
          <t>Human Cell Line</t>
        </is>
      </c>
      <c r="M38" s="3" t="inlineStr">
        <is>
          <t>RNA Seq</t>
        </is>
      </c>
      <c r="N38" s="3" t="inlineStr">
        <is>
          <t xml:space="preserve">With Analysis </t>
        </is>
      </c>
      <c r="O38" s="3" t="n">
        <v>4</v>
      </c>
      <c r="P38" s="3" t="inlineStr">
        <is>
          <t>9 GB/Sample</t>
        </is>
      </c>
      <c r="Q38" s="3" t="n">
        <v>9</v>
      </c>
      <c r="R38" s="3" t="n">
        <v>36</v>
      </c>
      <c r="S38" s="3" t="n">
        <v>14500</v>
      </c>
      <c r="T38" s="5" t="n">
        <v>58000</v>
      </c>
      <c r="U38" s="5" t="n">
        <v>10440</v>
      </c>
      <c r="V38" s="5" t="n">
        <v>68440</v>
      </c>
      <c r="W38" s="3" t="inlineStr">
        <is>
          <t>UG/NGS/TP/2512412R1</t>
        </is>
      </c>
      <c r="X38" s="3" t="inlineStr">
        <is>
          <t>Direct</t>
        </is>
      </c>
      <c r="Y38" s="3" t="inlineStr">
        <is>
          <t>Gujrat</t>
        </is>
      </c>
      <c r="Z38" s="3" t="inlineStr">
        <is>
          <t>Ahmedabad</t>
        </is>
      </c>
      <c r="AA38" s="3" t="n">
        <v>4</v>
      </c>
      <c r="AB38" s="3" t="n">
        <v>0</v>
      </c>
      <c r="AC38" s="4" t="n">
        <v>46074</v>
      </c>
      <c r="AD38" s="3" t="n">
        <v>12</v>
      </c>
      <c r="AE38" s="3" t="inlineStr">
        <is>
          <t>106 &amp; 107</t>
        </is>
      </c>
      <c r="AF38" s="4" t="n">
        <v>46090</v>
      </c>
      <c r="AG38" s="4" t="n">
        <v>46147</v>
      </c>
      <c r="AH38" s="3" t="inlineStr">
        <is>
          <t>UPL/GEN/395/2526</t>
        </is>
      </c>
      <c r="AI38" s="3" t="inlineStr"/>
      <c r="AJ38" s="3" t="inlineStr">
        <is>
          <t xml:space="preserve"> Project Closure</t>
        </is>
      </c>
      <c r="AK38" s="5" t="n">
        <v>58000</v>
      </c>
      <c r="AL38" s="5" t="n">
        <v>10440</v>
      </c>
      <c r="AM38" s="5" t="n">
        <v>68440</v>
      </c>
      <c r="AN38" s="3" t="inlineStr"/>
      <c r="AO38" s="5" t="n">
        <v>0</v>
      </c>
      <c r="AP38" s="5" t="n">
        <v>-68440</v>
      </c>
      <c r="AQ38" s="3" t="inlineStr"/>
    </row>
    <row r="39">
      <c r="A39" s="3" t="inlineStr">
        <is>
          <t>38</t>
        </is>
      </c>
      <c r="B39" s="3" t="inlineStr">
        <is>
          <t>NGS 260039</t>
        </is>
      </c>
      <c r="C39" s="4" t="n">
        <v>46059</v>
      </c>
      <c r="D39" s="3" t="inlineStr">
        <is>
          <t>February- 2026</t>
        </is>
      </c>
      <c r="E39" s="4" t="n">
        <v>46063</v>
      </c>
      <c r="F39" s="3" t="inlineStr">
        <is>
          <t>Neha Sharma</t>
        </is>
      </c>
      <c r="G39" s="3" t="inlineStr">
        <is>
          <t>Bhu</t>
        </is>
      </c>
      <c r="H39" s="3" t="inlineStr">
        <is>
          <t>Genecare Biotech</t>
        </is>
      </c>
      <c r="I39" s="3" t="inlineStr">
        <is>
          <t>naha@bhu.ac.in</t>
        </is>
      </c>
      <c r="J39" s="3" t="inlineStr"/>
      <c r="K39" s="3" t="inlineStr">
        <is>
          <t>Denovo Whole Genome Sequencing On Illumina Novaseq X Plus Platform</t>
        </is>
      </c>
      <c r="L39" s="3" t="inlineStr">
        <is>
          <t>Cell Pellets</t>
        </is>
      </c>
      <c r="M39" s="3" t="inlineStr">
        <is>
          <t>Wgs Seq</t>
        </is>
      </c>
      <c r="N39" s="3" t="inlineStr">
        <is>
          <t xml:space="preserve">With Analysis </t>
        </is>
      </c>
      <c r="O39" s="3" t="n">
        <v>2</v>
      </c>
      <c r="P39" s="3" t="inlineStr">
        <is>
          <t>4 GB/Sample (100X)</t>
        </is>
      </c>
      <c r="Q39" s="3" t="n">
        <v>4</v>
      </c>
      <c r="R39" s="3" t="n">
        <v>8</v>
      </c>
      <c r="S39" s="3" t="n">
        <v>12000</v>
      </c>
      <c r="T39" s="5" t="n">
        <v>24000</v>
      </c>
      <c r="U39" s="5" t="n">
        <v>4320</v>
      </c>
      <c r="V39" s="5" t="n">
        <v>28320</v>
      </c>
      <c r="W39" s="3" t="inlineStr">
        <is>
          <t>UG/NGS/TP/2601474</t>
        </is>
      </c>
      <c r="X39" s="3" t="inlineStr">
        <is>
          <t xml:space="preserve">Harsh </t>
        </is>
      </c>
      <c r="Y39" s="3" t="inlineStr">
        <is>
          <t>Up</t>
        </is>
      </c>
      <c r="Z39" s="3" t="inlineStr">
        <is>
          <t>Varanasi</t>
        </is>
      </c>
      <c r="AA39" s="3" t="n">
        <v>2</v>
      </c>
      <c r="AB39" s="3" t="n">
        <v>0</v>
      </c>
      <c r="AC39" s="4" t="n">
        <v>46076</v>
      </c>
      <c r="AD39" s="3" t="n">
        <v>13</v>
      </c>
      <c r="AE39" s="3" t="inlineStr">
        <is>
          <t>Cancel Project ()</t>
        </is>
      </c>
      <c r="AF39" s="3" t="inlineStr"/>
      <c r="AG39" s="3" t="inlineStr"/>
      <c r="AH39" s="3" t="inlineStr"/>
      <c r="AI39" s="3" t="inlineStr"/>
      <c r="AJ39" s="3" t="inlineStr">
        <is>
          <t>Cancel Project ()</t>
        </is>
      </c>
      <c r="AK39" s="5" t="n">
        <v>24000</v>
      </c>
      <c r="AL39" s="5" t="n">
        <v>4320</v>
      </c>
      <c r="AM39" s="5" t="n">
        <v>28320</v>
      </c>
      <c r="AN39" s="3" t="inlineStr"/>
      <c r="AO39" s="5" t="n">
        <v>0</v>
      </c>
      <c r="AP39" s="5" t="n">
        <v>-28320</v>
      </c>
      <c r="AQ39" s="3" t="inlineStr"/>
    </row>
    <row r="40">
      <c r="A40" s="3" t="inlineStr">
        <is>
          <t>39</t>
        </is>
      </c>
      <c r="B40" s="3" t="inlineStr">
        <is>
          <t>NGS 260039</t>
        </is>
      </c>
      <c r="C40" s="4" t="n">
        <v>46059</v>
      </c>
      <c r="D40" s="3" t="inlineStr">
        <is>
          <t>February- 2026</t>
        </is>
      </c>
      <c r="E40" s="4" t="n">
        <v>46063</v>
      </c>
      <c r="F40" s="3" t="inlineStr">
        <is>
          <t>Neha Sharma</t>
        </is>
      </c>
      <c r="G40" s="3" t="inlineStr">
        <is>
          <t>Bhu</t>
        </is>
      </c>
      <c r="H40" s="3" t="inlineStr">
        <is>
          <t>Genecare Biotech</t>
        </is>
      </c>
      <c r="I40" s="3" t="inlineStr">
        <is>
          <t>naha@bhu.ac.in</t>
        </is>
      </c>
      <c r="J40" s="3" t="inlineStr"/>
      <c r="K40" s="3" t="inlineStr">
        <is>
          <t>Bioinformatics Analysis</t>
        </is>
      </c>
      <c r="L40" s="3" t="inlineStr">
        <is>
          <t>Cell Pellets</t>
        </is>
      </c>
      <c r="M40" s="3" t="inlineStr">
        <is>
          <t>Wgs Seq</t>
        </is>
      </c>
      <c r="N40" s="3" t="inlineStr">
        <is>
          <t xml:space="preserve">With Analysis </t>
        </is>
      </c>
      <c r="O40" s="3" t="n">
        <v>2</v>
      </c>
      <c r="P40" s="3" t="inlineStr">
        <is>
          <t>4 GB/Sample (100X</t>
        </is>
      </c>
      <c r="Q40" s="3" t="n">
        <v>4</v>
      </c>
      <c r="R40" s="3" t="n">
        <v>8</v>
      </c>
      <c r="S40" s="3" t="n">
        <v>5000</v>
      </c>
      <c r="T40" s="5" t="n">
        <v>10000</v>
      </c>
      <c r="U40" s="5" t="n">
        <v>1800</v>
      </c>
      <c r="V40" s="5" t="n">
        <v>11800</v>
      </c>
      <c r="W40" s="3" t="inlineStr">
        <is>
          <t>UG/NGS/TP/2601474</t>
        </is>
      </c>
      <c r="X40" s="3" t="inlineStr">
        <is>
          <t xml:space="preserve">Harsh </t>
        </is>
      </c>
      <c r="Y40" s="3" t="inlineStr">
        <is>
          <t>Up</t>
        </is>
      </c>
      <c r="Z40" s="3" t="inlineStr">
        <is>
          <t>Varanasi</t>
        </is>
      </c>
      <c r="AA40" s="3" t="n">
        <v>2</v>
      </c>
      <c r="AB40" s="3" t="n">
        <v>0</v>
      </c>
      <c r="AC40" s="4" t="n">
        <v>46076</v>
      </c>
      <c r="AD40" s="3" t="n">
        <v>13</v>
      </c>
      <c r="AE40" s="3" t="inlineStr">
        <is>
          <t>Cancel Project ()</t>
        </is>
      </c>
      <c r="AF40" s="3" t="inlineStr"/>
      <c r="AG40" s="3" t="inlineStr"/>
      <c r="AH40" s="3" t="inlineStr"/>
      <c r="AI40" s="3" t="inlineStr"/>
      <c r="AJ40" s="3" t="inlineStr">
        <is>
          <t>Cancel Project ()</t>
        </is>
      </c>
      <c r="AK40" s="5" t="n">
        <v>10000</v>
      </c>
      <c r="AL40" s="5" t="n">
        <v>1800</v>
      </c>
      <c r="AM40" s="5" t="n">
        <v>11800</v>
      </c>
      <c r="AN40" s="3" t="inlineStr"/>
      <c r="AO40" s="5" t="n">
        <v>0</v>
      </c>
      <c r="AP40" s="5" t="n">
        <v>-11800</v>
      </c>
      <c r="AQ40" s="3" t="inlineStr"/>
    </row>
    <row r="41">
      <c r="A41" s="3" t="inlineStr">
        <is>
          <t>40</t>
        </is>
      </c>
      <c r="B41" s="3" t="inlineStr">
        <is>
          <t>NGS 260040</t>
        </is>
      </c>
      <c r="C41" s="4" t="n">
        <v>46059</v>
      </c>
      <c r="D41" s="3" t="inlineStr">
        <is>
          <t>February- 2026</t>
        </is>
      </c>
      <c r="E41" s="4" t="n">
        <v>46059</v>
      </c>
      <c r="F41" s="3" t="inlineStr">
        <is>
          <t>Dr. Syed K Hasan</t>
        </is>
      </c>
      <c r="G41" s="3" t="inlineStr">
        <is>
          <t>Actrec, Tata Memorial Centre</t>
        </is>
      </c>
      <c r="H41" s="3" t="inlineStr">
        <is>
          <t>Actrec, Tata Memorial Centre</t>
        </is>
      </c>
      <c r="I41" s="3" t="inlineStr">
        <is>
          <t>shasan@actrec.gov.in</t>
        </is>
      </c>
      <c r="J41" s="3" t="inlineStr"/>
      <c r="K41" s="3" t="inlineStr">
        <is>
          <t>RNA Sequencing On Illumina Novaseq X Plus Platform</t>
        </is>
      </c>
      <c r="L41" s="3" t="inlineStr">
        <is>
          <t>RNA</t>
        </is>
      </c>
      <c r="M41" s="3" t="inlineStr">
        <is>
          <t>RNA Seq</t>
        </is>
      </c>
      <c r="N41" s="3" t="inlineStr">
        <is>
          <t>Without Analysis</t>
        </is>
      </c>
      <c r="O41" s="3" t="n">
        <v>51</v>
      </c>
      <c r="P41" s="3" t="inlineStr">
        <is>
          <t>6-8 GB/Sample</t>
        </is>
      </c>
      <c r="Q41" s="3" t="n">
        <v>8</v>
      </c>
      <c r="R41" s="3" t="n">
        <v>408</v>
      </c>
      <c r="S41" s="3" t="n">
        <v>9500</v>
      </c>
      <c r="T41" s="5" t="n">
        <v>484500</v>
      </c>
      <c r="U41" s="5" t="n">
        <v>87210</v>
      </c>
      <c r="V41" s="5" t="n">
        <v>571710</v>
      </c>
      <c r="W41" s="3" t="inlineStr">
        <is>
          <t>UG/NGS/TP/2602516</t>
        </is>
      </c>
      <c r="X41" s="3" t="inlineStr">
        <is>
          <t>Direct</t>
        </is>
      </c>
      <c r="Y41" s="3" t="inlineStr">
        <is>
          <t>Maharashtra</t>
        </is>
      </c>
      <c r="Z41" s="3" t="inlineStr">
        <is>
          <t>Mumbai</t>
        </is>
      </c>
      <c r="AA41" s="3" t="n">
        <v>51</v>
      </c>
      <c r="AB41" s="3" t="n">
        <v>0</v>
      </c>
      <c r="AC41" s="4" t="n">
        <v>46070</v>
      </c>
      <c r="AD41" s="3" t="n">
        <v>11</v>
      </c>
      <c r="AE41" s="3" t="inlineStr">
        <is>
          <t>106 &amp; 107</t>
        </is>
      </c>
      <c r="AF41" s="4" t="n">
        <v>46092</v>
      </c>
      <c r="AG41" s="3" t="inlineStr"/>
      <c r="AH41" s="3" t="inlineStr">
        <is>
          <t>UPL/GEN/362/2526</t>
        </is>
      </c>
      <c r="AI41" s="4" t="n">
        <v>46093</v>
      </c>
      <c r="AJ41" s="3" t="inlineStr">
        <is>
          <t xml:space="preserve"> Project Closure</t>
        </is>
      </c>
      <c r="AK41" s="5" t="n">
        <v>484500</v>
      </c>
      <c r="AL41" s="5" t="n">
        <v>87210</v>
      </c>
      <c r="AM41" s="5" t="n">
        <v>571710</v>
      </c>
      <c r="AN41" s="3" t="n">
        <v>126</v>
      </c>
      <c r="AO41" s="5" t="n">
        <v>0</v>
      </c>
      <c r="AP41" s="5" t="n">
        <v>-571710</v>
      </c>
      <c r="AQ41" s="3" t="inlineStr"/>
    </row>
    <row r="42">
      <c r="A42" s="3" t="inlineStr">
        <is>
          <t>41</t>
        </is>
      </c>
      <c r="B42" s="3" t="inlineStr">
        <is>
          <t>NGS 260041</t>
        </is>
      </c>
      <c r="C42" s="4" t="n">
        <v>46063</v>
      </c>
      <c r="D42" s="3" t="inlineStr">
        <is>
          <t>February- 2026</t>
        </is>
      </c>
      <c r="E42" s="4" t="n">
        <v>46081</v>
      </c>
      <c r="F42" s="3" t="inlineStr">
        <is>
          <t>Sudharson Narayanan</t>
        </is>
      </c>
      <c r="G42" s="3" t="inlineStr">
        <is>
          <t>Symbiont Life Sciences</t>
        </is>
      </c>
      <c r="H42" s="3" t="inlineStr">
        <is>
          <t>Symbiont Life Sciences</t>
        </is>
      </c>
      <c r="I42" s="3" t="inlineStr">
        <is>
          <t>symbiontcs@gmail.com</t>
        </is>
      </c>
      <c r="J42" s="3" t="inlineStr">
        <is>
          <t>8838222756</t>
        </is>
      </c>
      <c r="K42" s="3" t="inlineStr">
        <is>
          <t>Whole Metagenome Sequencing &amp; Analysis On Novaseq 6000 Platform</t>
        </is>
      </c>
      <c r="L42" s="3" t="inlineStr">
        <is>
          <t>Filter Paper</t>
        </is>
      </c>
      <c r="M42" s="3" t="inlineStr">
        <is>
          <t>Meta Seq</t>
        </is>
      </c>
      <c r="N42" s="3" t="inlineStr">
        <is>
          <t xml:space="preserve">With Analysis </t>
        </is>
      </c>
      <c r="O42" s="3" t="n">
        <v>3</v>
      </c>
      <c r="P42" s="3" t="inlineStr">
        <is>
          <t>3 GB/sample</t>
        </is>
      </c>
      <c r="Q42" s="3" t="n">
        <v>3</v>
      </c>
      <c r="R42" s="3" t="n">
        <v>9</v>
      </c>
      <c r="S42" s="3" t="n">
        <v>10000</v>
      </c>
      <c r="T42" s="5" t="n">
        <v>30000</v>
      </c>
      <c r="U42" s="5" t="n">
        <v>5400</v>
      </c>
      <c r="V42" s="5" t="n">
        <v>35400</v>
      </c>
      <c r="W42" s="3" t="inlineStr">
        <is>
          <t>UG/NGS/TP/2303192</t>
        </is>
      </c>
      <c r="X42" s="3" t="inlineStr">
        <is>
          <t xml:space="preserve">South -2 </t>
        </is>
      </c>
      <c r="Y42" s="3" t="inlineStr">
        <is>
          <t>Tamil Nadu</t>
        </is>
      </c>
      <c r="Z42" s="3" t="inlineStr">
        <is>
          <t>Chennai</t>
        </is>
      </c>
      <c r="AA42" s="3" t="n">
        <v>3</v>
      </c>
      <c r="AB42" s="3" t="n">
        <v>0</v>
      </c>
      <c r="AC42" s="4" t="n">
        <v>46090</v>
      </c>
      <c r="AD42" s="3" t="n">
        <v>9</v>
      </c>
      <c r="AE42" s="3" t="inlineStr">
        <is>
          <t>108</t>
        </is>
      </c>
      <c r="AF42" s="3" t="inlineStr"/>
      <c r="AG42" s="4" t="n">
        <v>46182</v>
      </c>
      <c r="AH42" s="3" t="inlineStr"/>
      <c r="AI42" s="3" t="inlineStr"/>
      <c r="AJ42" s="3" t="inlineStr">
        <is>
          <t xml:space="preserve"> Project Closure</t>
        </is>
      </c>
      <c r="AK42" s="5" t="n">
        <v>30000</v>
      </c>
      <c r="AL42" s="5" t="n">
        <v>5400</v>
      </c>
      <c r="AM42" s="5" t="n">
        <v>35400</v>
      </c>
      <c r="AN42" s="3" t="inlineStr"/>
      <c r="AO42" s="5" t="n">
        <v>0</v>
      </c>
      <c r="AP42" s="5" t="n">
        <v>-35400</v>
      </c>
      <c r="AQ42" s="3" t="inlineStr"/>
    </row>
    <row r="43">
      <c r="A43" s="3" t="inlineStr">
        <is>
          <t>42</t>
        </is>
      </c>
      <c r="B43" s="3" t="inlineStr">
        <is>
          <t>NGS 260042</t>
        </is>
      </c>
      <c r="C43" s="4" t="n">
        <v>46063</v>
      </c>
      <c r="D43" s="3" t="inlineStr">
        <is>
          <t>February- 2026</t>
        </is>
      </c>
      <c r="E43" s="4" t="n">
        <v>46081</v>
      </c>
      <c r="F43" s="3" t="inlineStr">
        <is>
          <t>Dr.Sowmiya</t>
        </is>
      </c>
      <c r="G43" s="3" t="inlineStr">
        <is>
          <t>Immugenix Biosciences</t>
        </is>
      </c>
      <c r="H43" s="3" t="inlineStr">
        <is>
          <t>Immugenix Biosciences</t>
        </is>
      </c>
      <c r="I43" s="3" t="inlineStr">
        <is>
          <t>service@immugenixbio.com</t>
        </is>
      </c>
      <c r="J43" s="3" t="inlineStr"/>
      <c r="K43" s="3" t="inlineStr">
        <is>
          <t>Shotgun Metagenomics Sequencing On Illumina Novaseq X Plus Platform</t>
        </is>
      </c>
      <c r="L43" s="3" t="inlineStr">
        <is>
          <t>Water</t>
        </is>
      </c>
      <c r="M43" s="3" t="inlineStr">
        <is>
          <t>Shotgun Metagenomics</t>
        </is>
      </c>
      <c r="N43" s="3" t="inlineStr">
        <is>
          <t xml:space="preserve">With Analysis </t>
        </is>
      </c>
      <c r="O43" s="3" t="n">
        <v>1</v>
      </c>
      <c r="P43" s="3" t="inlineStr">
        <is>
          <t>5-6 GB/ sample</t>
        </is>
      </c>
      <c r="Q43" s="3" t="n">
        <v>6</v>
      </c>
      <c r="R43" s="3" t="n">
        <v>6</v>
      </c>
      <c r="S43" s="3" t="n">
        <v>15000</v>
      </c>
      <c r="T43" s="5" t="n">
        <v>15000</v>
      </c>
      <c r="U43" s="5" t="n">
        <v>2700</v>
      </c>
      <c r="V43" s="5" t="n">
        <v>17700</v>
      </c>
      <c r="W43" s="3" t="inlineStr">
        <is>
          <t>UG/NGS/TP/2601508</t>
        </is>
      </c>
      <c r="X43" s="3" t="inlineStr">
        <is>
          <t xml:space="preserve">South -2 </t>
        </is>
      </c>
      <c r="Y43" s="3" t="inlineStr">
        <is>
          <t>Tamil Nadu</t>
        </is>
      </c>
      <c r="Z43" s="3" t="inlineStr">
        <is>
          <t>Chennai</t>
        </is>
      </c>
      <c r="AA43" s="3" t="n">
        <v>1</v>
      </c>
      <c r="AB43" s="3" t="n">
        <v>0</v>
      </c>
      <c r="AC43" s="4" t="n">
        <v>46090</v>
      </c>
      <c r="AD43" s="3" t="n">
        <v>9</v>
      </c>
      <c r="AE43" s="3" t="inlineStr">
        <is>
          <t>108</t>
        </is>
      </c>
      <c r="AF43" s="3" t="inlineStr"/>
      <c r="AG43" s="4" t="n">
        <v>46122</v>
      </c>
      <c r="AH43" s="3" t="inlineStr">
        <is>
          <t>UPL/GEN/2627/55</t>
        </is>
      </c>
      <c r="AI43" s="4" t="n">
        <v>46192</v>
      </c>
      <c r="AJ43" s="3" t="inlineStr">
        <is>
          <t xml:space="preserve"> Project Closure</t>
        </is>
      </c>
      <c r="AK43" s="5" t="n">
        <v>15000</v>
      </c>
      <c r="AL43" s="5" t="n">
        <v>2700</v>
      </c>
      <c r="AM43" s="5" t="n">
        <v>17700</v>
      </c>
      <c r="AN43" s="3" t="n">
        <v>27</v>
      </c>
      <c r="AO43" s="5" t="n">
        <v>17700</v>
      </c>
      <c r="AP43" s="5" t="n">
        <v>0</v>
      </c>
      <c r="AQ43" s="4" t="n">
        <v>46133</v>
      </c>
    </row>
    <row r="44">
      <c r="A44" s="3" t="inlineStr">
        <is>
          <t>43</t>
        </is>
      </c>
      <c r="B44" s="3" t="inlineStr">
        <is>
          <t>NGS 260043</t>
        </is>
      </c>
      <c r="C44" s="4" t="n">
        <v>46070</v>
      </c>
      <c r="D44" s="3" t="inlineStr">
        <is>
          <t>February- 2026</t>
        </is>
      </c>
      <c r="E44" s="4" t="n">
        <v>46107</v>
      </c>
      <c r="F44" s="3" t="inlineStr">
        <is>
          <t>Dr.Kumar Durgesh</t>
        </is>
      </c>
      <c r="G44" s="3" t="inlineStr">
        <is>
          <t>ICAR-Iari</t>
        </is>
      </c>
      <c r="H44" s="3" t="inlineStr">
        <is>
          <t>Genebio</t>
        </is>
      </c>
      <c r="I44" s="3" t="inlineStr">
        <is>
          <t>genebio2017@gmail.com</t>
        </is>
      </c>
      <c r="J44" s="3" t="inlineStr"/>
      <c r="K44" s="3" t="inlineStr">
        <is>
          <t>Low Pass Whole Genome Sequencing &amp; Analysis On Illumina Novaseq X Plus Platform</t>
        </is>
      </c>
      <c r="L44" s="3" t="inlineStr">
        <is>
          <t>Leaf</t>
        </is>
      </c>
      <c r="M44" s="3" t="inlineStr">
        <is>
          <t>Low Pass</t>
        </is>
      </c>
      <c r="N44" s="3" t="inlineStr">
        <is>
          <t xml:space="preserve">With Analysis </t>
        </is>
      </c>
      <c r="O44" s="3" t="n">
        <v>236</v>
      </c>
      <c r="P44" s="3" t="inlineStr">
        <is>
          <t>12 GB/Samples</t>
        </is>
      </c>
      <c r="Q44" s="3" t="n">
        <v>12</v>
      </c>
      <c r="R44" s="3" t="n">
        <v>2832</v>
      </c>
      <c r="S44" s="3" t="n">
        <v>6500</v>
      </c>
      <c r="T44" s="5" t="n">
        <v>1534000</v>
      </c>
      <c r="U44" s="5" t="n">
        <v>276120</v>
      </c>
      <c r="V44" s="5" t="n">
        <v>1810120</v>
      </c>
      <c r="W44" s="3" t="inlineStr">
        <is>
          <t>UG/NGS/TP/2601461R5</t>
        </is>
      </c>
      <c r="X44" s="3" t="inlineStr">
        <is>
          <t xml:space="preserve">Nem Singh </t>
        </is>
      </c>
      <c r="Y44" s="3" t="inlineStr">
        <is>
          <t>Delhi</t>
        </is>
      </c>
      <c r="Z44" s="3" t="inlineStr">
        <is>
          <t>Delhi</t>
        </is>
      </c>
      <c r="AA44" s="3" t="n">
        <v>236</v>
      </c>
      <c r="AB44" s="3" t="n">
        <v>0</v>
      </c>
      <c r="AC44" s="4" t="n">
        <v>46115</v>
      </c>
      <c r="AD44" s="3" t="n">
        <v>8</v>
      </c>
      <c r="AE44" s="3" t="inlineStr">
        <is>
          <t>116 &amp; 120 &amp; 133</t>
        </is>
      </c>
      <c r="AF44" s="3" t="inlineStr"/>
      <c r="AG44" s="3" t="inlineStr"/>
      <c r="AH44" s="3" t="inlineStr"/>
      <c r="AI44" s="3" t="inlineStr"/>
      <c r="AJ44" s="3" t="inlineStr"/>
      <c r="AK44" s="5" t="n">
        <v>1534000</v>
      </c>
      <c r="AL44" s="5" t="n">
        <v>276120</v>
      </c>
      <c r="AM44" s="5" t="n">
        <v>1810120</v>
      </c>
      <c r="AN44" s="3" t="inlineStr"/>
      <c r="AO44" s="5" t="n">
        <v>905060</v>
      </c>
      <c r="AP44" s="5" t="n">
        <v>-905060</v>
      </c>
      <c r="AQ44" s="3" t="inlineStr"/>
    </row>
    <row r="45">
      <c r="A45" s="3" t="inlineStr">
        <is>
          <t>44</t>
        </is>
      </c>
      <c r="B45" s="3" t="inlineStr">
        <is>
          <t>NGS 260044</t>
        </is>
      </c>
      <c r="C45" s="4" t="n">
        <v>46070</v>
      </c>
      <c r="D45" s="3" t="inlineStr">
        <is>
          <t>February- 2026</t>
        </is>
      </c>
      <c r="E45" s="4" t="n">
        <v>46116</v>
      </c>
      <c r="F45" s="3" t="inlineStr">
        <is>
          <t>Dr. Manguesh U. Gauns</t>
        </is>
      </c>
      <c r="G45" s="3" t="inlineStr">
        <is>
          <t>Nio,Goa</t>
        </is>
      </c>
      <c r="H45" s="3" t="inlineStr">
        <is>
          <t>Nio,Goa</t>
        </is>
      </c>
      <c r="I45" s="3" t="inlineStr">
        <is>
          <t>siddhi2110@gmail.com, gmangesh@nio.res.in</t>
        </is>
      </c>
      <c r="J45" s="3" t="inlineStr"/>
      <c r="K45" s="3" t="inlineStr">
        <is>
          <t>Sanger Based 18S Rrna Sequencing Services</t>
        </is>
      </c>
      <c r="L45" s="3" t="inlineStr">
        <is>
          <t>Diatom Culture</t>
        </is>
      </c>
      <c r="M45" s="3" t="inlineStr">
        <is>
          <t>Sanger</t>
        </is>
      </c>
      <c r="N45" s="3" t="inlineStr">
        <is>
          <t>Without Analysis</t>
        </is>
      </c>
      <c r="O45" s="3" t="n">
        <v>2</v>
      </c>
      <c r="P45" s="3" t="inlineStr"/>
      <c r="Q45" s="3" t="inlineStr"/>
      <c r="R45" s="3" t="n">
        <v>0</v>
      </c>
      <c r="S45" s="3" t="n">
        <v>5000</v>
      </c>
      <c r="T45" s="5" t="n">
        <v>0</v>
      </c>
      <c r="U45" s="5" t="n">
        <v>0</v>
      </c>
      <c r="V45" s="5" t="n">
        <v>0</v>
      </c>
      <c r="W45" s="3" t="inlineStr">
        <is>
          <t>UG/NGS/TP/2601495</t>
        </is>
      </c>
      <c r="X45" s="3" t="inlineStr">
        <is>
          <t>Direct</t>
        </is>
      </c>
      <c r="Y45" s="3" t="inlineStr">
        <is>
          <t>Goa</t>
        </is>
      </c>
      <c r="Z45" s="3" t="inlineStr">
        <is>
          <t>N/A</t>
        </is>
      </c>
      <c r="AA45" s="3" t="n">
        <v>2</v>
      </c>
      <c r="AB45" s="3" t="n">
        <v>0</v>
      </c>
      <c r="AC45" s="4" t="n">
        <v>46125</v>
      </c>
      <c r="AD45" s="3" t="n">
        <v>9</v>
      </c>
      <c r="AE45" s="3" t="inlineStr"/>
      <c r="AF45" s="3" t="inlineStr"/>
      <c r="AG45" s="3" t="inlineStr"/>
      <c r="AH45" s="3" t="inlineStr"/>
      <c r="AI45" s="3" t="inlineStr"/>
      <c r="AJ45" s="3" t="inlineStr"/>
      <c r="AK45" s="5" t="n">
        <v>10000</v>
      </c>
      <c r="AL45" s="5" t="n">
        <v>1800</v>
      </c>
      <c r="AM45" s="5" t="n">
        <v>11800</v>
      </c>
      <c r="AN45" s="3" t="inlineStr"/>
      <c r="AO45" s="5" t="n">
        <v>0</v>
      </c>
      <c r="AP45" s="5" t="n">
        <v>-11800</v>
      </c>
      <c r="AQ45" s="3" t="inlineStr"/>
    </row>
    <row r="46">
      <c r="A46" s="3" t="inlineStr">
        <is>
          <t>45</t>
        </is>
      </c>
      <c r="B46" s="3" t="inlineStr">
        <is>
          <t>NGS 260045</t>
        </is>
      </c>
      <c r="C46" s="4" t="n">
        <v>46070</v>
      </c>
      <c r="D46" s="3" t="inlineStr">
        <is>
          <t>February- 2026</t>
        </is>
      </c>
      <c r="E46" s="4" t="n">
        <v>46070</v>
      </c>
      <c r="F46" s="3" t="inlineStr">
        <is>
          <t>Dr. Sai Prasad</t>
        </is>
      </c>
      <c r="G46" s="3" t="inlineStr">
        <is>
          <t>IIT, Kanpur</t>
        </is>
      </c>
      <c r="H46" s="3" t="inlineStr">
        <is>
          <t>IIT, Kanpur</t>
        </is>
      </c>
      <c r="I46" s="3" t="inlineStr"/>
      <c r="J46" s="3" t="inlineStr"/>
      <c r="K46" s="3" t="inlineStr">
        <is>
          <t>Mrna Sequencing On Illumina Novaseq X Plus Platform</t>
        </is>
      </c>
      <c r="L46" s="3" t="inlineStr">
        <is>
          <t>RNA</t>
        </is>
      </c>
      <c r="M46" s="3" t="inlineStr">
        <is>
          <t>Mrna</t>
        </is>
      </c>
      <c r="N46" s="3" t="inlineStr">
        <is>
          <t>Without Analysis</t>
        </is>
      </c>
      <c r="O46" s="3" t="n">
        <v>12</v>
      </c>
      <c r="P46" s="3" t="inlineStr">
        <is>
          <t>9-10 GB/Sample</t>
        </is>
      </c>
      <c r="Q46" s="3" t="n">
        <v>10</v>
      </c>
      <c r="R46" s="3" t="n">
        <v>120</v>
      </c>
      <c r="S46" s="3" t="n">
        <v>10000</v>
      </c>
      <c r="T46" s="5" t="n">
        <v>120000</v>
      </c>
      <c r="U46" s="5" t="n">
        <v>21600</v>
      </c>
      <c r="V46" s="5" t="n">
        <v>141600</v>
      </c>
      <c r="W46" s="3" t="inlineStr">
        <is>
          <t>UG/NGS/TP/2601488</t>
        </is>
      </c>
      <c r="X46" s="3" t="inlineStr">
        <is>
          <t>Ravi singh</t>
        </is>
      </c>
      <c r="Y46" s="3" t="inlineStr">
        <is>
          <t>Up</t>
        </is>
      </c>
      <c r="Z46" s="3" t="inlineStr">
        <is>
          <t>Kanpur</t>
        </is>
      </c>
      <c r="AA46" s="3" t="n">
        <v>12</v>
      </c>
      <c r="AB46" s="3" t="n">
        <v>0</v>
      </c>
      <c r="AC46" s="4" t="n">
        <v>46073</v>
      </c>
      <c r="AD46" s="3" t="n">
        <v>3</v>
      </c>
      <c r="AE46" s="3" t="inlineStr">
        <is>
          <t>107</t>
        </is>
      </c>
      <c r="AF46" s="4" t="n">
        <v>46090</v>
      </c>
      <c r="AG46" s="3" t="inlineStr"/>
      <c r="AH46" s="3" t="inlineStr">
        <is>
          <t>UPL/GEN/2627/01</t>
        </is>
      </c>
      <c r="AI46" s="4" t="n">
        <v>46149</v>
      </c>
      <c r="AJ46" s="3" t="inlineStr">
        <is>
          <t xml:space="preserve"> Project Closure</t>
        </is>
      </c>
      <c r="AK46" s="5" t="n">
        <v>120000</v>
      </c>
      <c r="AL46" s="5" t="n">
        <v>21600</v>
      </c>
      <c r="AM46" s="5" t="n">
        <v>141600</v>
      </c>
      <c r="AN46" s="3" t="n">
        <v>70</v>
      </c>
      <c r="AO46" s="5" t="n">
        <v>0</v>
      </c>
      <c r="AP46" s="5" t="n">
        <v>-141600</v>
      </c>
      <c r="AQ46" s="3" t="inlineStr"/>
    </row>
    <row r="47">
      <c r="A47" s="3" t="inlineStr">
        <is>
          <t>46</t>
        </is>
      </c>
      <c r="B47" s="3" t="inlineStr">
        <is>
          <t>NGS 260046</t>
        </is>
      </c>
      <c r="C47" s="4" t="n">
        <v>46070</v>
      </c>
      <c r="D47" s="3" t="inlineStr">
        <is>
          <t>February- 2026</t>
        </is>
      </c>
      <c r="E47" s="4" t="n">
        <v>46070</v>
      </c>
      <c r="F47" s="3" t="inlineStr">
        <is>
          <t>Dr. Jagesh Tiwari</t>
        </is>
      </c>
      <c r="G47" s="3" t="inlineStr">
        <is>
          <t>ICAR-Iivr, Varanasi</t>
        </is>
      </c>
      <c r="H47" s="3" t="inlineStr">
        <is>
          <t>ICAR-Iivr, Varanasi</t>
        </is>
      </c>
      <c r="I47" s="3" t="inlineStr">
        <is>
          <t>jageshtiwari@gmail.com</t>
        </is>
      </c>
      <c r="J47" s="3" t="inlineStr"/>
      <c r="K47" s="3" t="inlineStr">
        <is>
          <t>Transcriptome Sequencing &amp; Analysis On Illumina Novaseq X Plus Platform</t>
        </is>
      </c>
      <c r="L47" s="3" t="inlineStr">
        <is>
          <t>Leaf Tissue (Tomato)</t>
        </is>
      </c>
      <c r="M47" s="3" t="inlineStr">
        <is>
          <t>Wts Seq</t>
        </is>
      </c>
      <c r="N47" s="3" t="inlineStr">
        <is>
          <t xml:space="preserve">With Analysis </t>
        </is>
      </c>
      <c r="O47" s="3" t="n">
        <v>24</v>
      </c>
      <c r="P47" s="3" t="inlineStr">
        <is>
          <t>6 GB/Sample</t>
        </is>
      </c>
      <c r="Q47" s="3" t="n">
        <v>6</v>
      </c>
      <c r="R47" s="3" t="n">
        <v>144</v>
      </c>
      <c r="S47" s="3" t="n">
        <v>13600</v>
      </c>
      <c r="T47" s="5" t="n">
        <v>326400</v>
      </c>
      <c r="U47" s="5" t="n">
        <v>58752</v>
      </c>
      <c r="V47" s="5" t="n">
        <v>385152</v>
      </c>
      <c r="W47" s="3" t="inlineStr">
        <is>
          <t>UG/NGS/TP/2601458R1</t>
        </is>
      </c>
      <c r="X47" s="3" t="inlineStr">
        <is>
          <t xml:space="preserve">Harsh </t>
        </is>
      </c>
      <c r="Y47" s="3" t="inlineStr">
        <is>
          <t>Up</t>
        </is>
      </c>
      <c r="Z47" s="3" t="inlineStr">
        <is>
          <t>Varanasi</t>
        </is>
      </c>
      <c r="AA47" s="3" t="n">
        <v>24</v>
      </c>
      <c r="AB47" s="3" t="n">
        <v>0</v>
      </c>
      <c r="AC47" s="4" t="n">
        <v>46079</v>
      </c>
      <c r="AD47" s="3" t="n">
        <v>9</v>
      </c>
      <c r="AE47" s="3" t="inlineStr">
        <is>
          <t>111 &amp; 113</t>
        </is>
      </c>
      <c r="AF47" s="4" t="n">
        <v>46105</v>
      </c>
      <c r="AG47" s="4" t="n">
        <v>46157</v>
      </c>
      <c r="AH47" s="3" t="inlineStr"/>
      <c r="AI47" s="3" t="inlineStr"/>
      <c r="AJ47" s="3" t="inlineStr">
        <is>
          <t xml:space="preserve"> Project Closure</t>
        </is>
      </c>
      <c r="AK47" s="5" t="n">
        <v>326400</v>
      </c>
      <c r="AL47" s="5" t="n">
        <v>58752</v>
      </c>
      <c r="AM47" s="5" t="n">
        <v>385152</v>
      </c>
      <c r="AN47" s="3" t="n">
        <v>46219</v>
      </c>
      <c r="AO47" s="5" t="n">
        <v>0</v>
      </c>
      <c r="AP47" s="5" t="n">
        <v>-385152</v>
      </c>
      <c r="AQ47" s="3" t="inlineStr"/>
    </row>
    <row r="48">
      <c r="A48" s="3" t="inlineStr">
        <is>
          <t>47</t>
        </is>
      </c>
      <c r="B48" s="3" t="inlineStr">
        <is>
          <t>NGS 260048</t>
        </is>
      </c>
      <c r="C48" s="4" t="n">
        <v>46070</v>
      </c>
      <c r="D48" s="3" t="inlineStr">
        <is>
          <t>February- 2026</t>
        </is>
      </c>
      <c r="E48" s="4" t="n">
        <v>46074</v>
      </c>
      <c r="F48" s="3" t="inlineStr">
        <is>
          <t>Dr. Ankita Singh</t>
        </is>
      </c>
      <c r="G48" s="3" t="inlineStr">
        <is>
          <t>Scientific Affairs, Icga Foundation</t>
        </is>
      </c>
      <c r="H48" s="3" t="inlineStr">
        <is>
          <t>Scientific Affairs, Icga Foundation</t>
        </is>
      </c>
      <c r="I48" s="3" t="inlineStr">
        <is>
          <t>ankita@icga.co.in</t>
        </is>
      </c>
      <c r="J48" s="3" t="inlineStr">
        <is>
          <t>9971881001 / 9999649610</t>
        </is>
      </c>
      <c r="K48" s="3" t="inlineStr">
        <is>
          <t>Whole Transcriptome Sequencing &amp; Analysis On Illumina Novaseq X Plus Platform (Ribodepletion)</t>
        </is>
      </c>
      <c r="L48" s="3" t="inlineStr">
        <is>
          <t>Tissue</t>
        </is>
      </c>
      <c r="M48" s="3" t="inlineStr">
        <is>
          <t>Wts Seq</t>
        </is>
      </c>
      <c r="N48" s="3" t="inlineStr">
        <is>
          <t xml:space="preserve">With Analysis </t>
        </is>
      </c>
      <c r="O48" s="3" t="n">
        <v>102</v>
      </c>
      <c r="P48" s="3" t="inlineStr">
        <is>
          <t>35-36 GB /sample</t>
        </is>
      </c>
      <c r="Q48" s="3" t="n">
        <v>36</v>
      </c>
      <c r="R48" s="3" t="n">
        <v>3672</v>
      </c>
      <c r="S48" s="3" t="n">
        <v>25500</v>
      </c>
      <c r="T48" s="5" t="n">
        <v>2601000</v>
      </c>
      <c r="U48" s="5" t="n">
        <v>468180</v>
      </c>
      <c r="V48" s="5" t="n">
        <v>3069180</v>
      </c>
      <c r="W48" s="3" t="inlineStr">
        <is>
          <t>UG/NGS/TP/2602515</t>
        </is>
      </c>
      <c r="X48" s="3" t="inlineStr">
        <is>
          <t>Direct</t>
        </is>
      </c>
      <c r="Y48" s="3" t="inlineStr">
        <is>
          <t>Maharashtra</t>
        </is>
      </c>
      <c r="Z48" s="3" t="inlineStr">
        <is>
          <t>Pune</t>
        </is>
      </c>
      <c r="AA48" s="3" t="n">
        <v>76</v>
      </c>
      <c r="AB48" s="3" t="n">
        <v>26</v>
      </c>
      <c r="AC48" s="4" t="n">
        <v>46080</v>
      </c>
      <c r="AD48" s="3" t="n">
        <v>6</v>
      </c>
      <c r="AE48" s="3" t="inlineStr">
        <is>
          <t>111 &amp; 113 &amp; 116</t>
        </is>
      </c>
      <c r="AF48" s="3" t="inlineStr"/>
      <c r="AG48" s="4" t="n">
        <v>46144</v>
      </c>
      <c r="AH48" s="3" t="inlineStr">
        <is>
          <t>UPL/GEN/429/2526</t>
        </is>
      </c>
      <c r="AI48" s="4" t="n">
        <v>46112</v>
      </c>
      <c r="AJ48" s="3" t="inlineStr">
        <is>
          <t xml:space="preserve"> Project Closure</t>
        </is>
      </c>
      <c r="AK48" s="5" t="n">
        <v>1938000</v>
      </c>
      <c r="AL48" s="5" t="n">
        <v>348840</v>
      </c>
      <c r="AM48" s="5" t="n">
        <v>2286840</v>
      </c>
      <c r="AN48" s="3" t="n">
        <v>107</v>
      </c>
      <c r="AO48" s="5" t="n">
        <v>0</v>
      </c>
      <c r="AP48" s="5" t="n">
        <v>-2286840</v>
      </c>
      <c r="AQ48" s="3" t="inlineStr"/>
    </row>
    <row r="49">
      <c r="A49" s="3" t="inlineStr">
        <is>
          <t>48</t>
        </is>
      </c>
      <c r="B49" s="3" t="inlineStr">
        <is>
          <t>NGS 260049</t>
        </is>
      </c>
      <c r="C49" s="4" t="n">
        <v>46070</v>
      </c>
      <c r="D49" s="3" t="inlineStr">
        <is>
          <t>February- 2026</t>
        </is>
      </c>
      <c r="E49" s="4" t="n">
        <v>46074</v>
      </c>
      <c r="F49" s="3" t="inlineStr">
        <is>
          <t>Dr. Ankita Singh</t>
        </is>
      </c>
      <c r="G49" s="3" t="inlineStr">
        <is>
          <t>Scientific Affairs, Icga Foundation</t>
        </is>
      </c>
      <c r="H49" s="3" t="inlineStr">
        <is>
          <t>Scientific Affairs, Icga Foundation</t>
        </is>
      </c>
      <c r="I49" s="3" t="inlineStr">
        <is>
          <t>ankita@icga.co.in</t>
        </is>
      </c>
      <c r="J49" s="3" t="inlineStr">
        <is>
          <t>9971881001 / 9999649610</t>
        </is>
      </c>
      <c r="K49" s="3" t="inlineStr">
        <is>
          <t>Whole Exome Sequencing &amp; Analysis On Illumina Novaseq X Plus Platform (80X)(Nt)</t>
        </is>
      </c>
      <c r="L49" s="3" t="inlineStr">
        <is>
          <t>Tissue</t>
        </is>
      </c>
      <c r="M49" s="3" t="inlineStr">
        <is>
          <t>Wes Seq</t>
        </is>
      </c>
      <c r="N49" s="3" t="inlineStr">
        <is>
          <t xml:space="preserve">With Analysis </t>
        </is>
      </c>
      <c r="O49" s="3" t="n">
        <v>51</v>
      </c>
      <c r="P49" s="3" t="inlineStr">
        <is>
          <t>8-10 GB/Sample (80X)</t>
        </is>
      </c>
      <c r="Q49" s="3" t="n">
        <v>10</v>
      </c>
      <c r="R49" s="3" t="n">
        <v>510</v>
      </c>
      <c r="S49" s="3" t="n">
        <v>10000</v>
      </c>
      <c r="T49" s="5" t="n">
        <v>510000</v>
      </c>
      <c r="U49" s="5" t="n">
        <v>91800</v>
      </c>
      <c r="V49" s="5" t="n">
        <v>601800</v>
      </c>
      <c r="W49" s="3" t="inlineStr">
        <is>
          <t>UG/NGS/TP/2601466</t>
        </is>
      </c>
      <c r="X49" s="3" t="inlineStr">
        <is>
          <t>Direct</t>
        </is>
      </c>
      <c r="Y49" s="3" t="inlineStr">
        <is>
          <t>Maharashtra</t>
        </is>
      </c>
      <c r="Z49" s="3" t="inlineStr">
        <is>
          <t>Pune</t>
        </is>
      </c>
      <c r="AA49" s="3" t="n">
        <v>51</v>
      </c>
      <c r="AB49" s="3" t="n">
        <v>0</v>
      </c>
      <c r="AC49" s="4" t="n">
        <v>46080</v>
      </c>
      <c r="AD49" s="3" t="n">
        <v>6</v>
      </c>
      <c r="AE49" s="3" t="inlineStr">
        <is>
          <t>110 &amp; 112</t>
        </is>
      </c>
      <c r="AF49" s="3" t="inlineStr"/>
      <c r="AG49" s="4" t="n">
        <v>46121</v>
      </c>
      <c r="AH49" s="3" t="inlineStr">
        <is>
          <t>UPL/GEN/427/2526</t>
        </is>
      </c>
      <c r="AI49" s="4" t="n">
        <v>46112</v>
      </c>
      <c r="AJ49" s="3" t="inlineStr">
        <is>
          <t xml:space="preserve"> Project Closure</t>
        </is>
      </c>
      <c r="AK49" s="5" t="n">
        <v>510000</v>
      </c>
      <c r="AL49" s="5" t="n">
        <v>91800</v>
      </c>
      <c r="AM49" s="5" t="n">
        <v>601800</v>
      </c>
      <c r="AN49" s="3" t="n">
        <v>107</v>
      </c>
      <c r="AO49" s="5" t="n">
        <v>0</v>
      </c>
      <c r="AP49" s="5" t="n">
        <v>-601800</v>
      </c>
      <c r="AQ49" s="3" t="inlineStr"/>
    </row>
    <row r="50">
      <c r="A50" s="3" t="inlineStr">
        <is>
          <t>49</t>
        </is>
      </c>
      <c r="B50" s="3" t="inlineStr">
        <is>
          <t>NGS 260050</t>
        </is>
      </c>
      <c r="C50" s="4" t="n">
        <v>46070</v>
      </c>
      <c r="D50" s="3" t="inlineStr">
        <is>
          <t>February- 2026</t>
        </is>
      </c>
      <c r="E50" s="4" t="n">
        <v>46070</v>
      </c>
      <c r="F50" s="3" t="inlineStr">
        <is>
          <t>Dr. Ankita Singh</t>
        </is>
      </c>
      <c r="G50" s="3" t="inlineStr">
        <is>
          <t>Scientific Affairs, Icga Foundation</t>
        </is>
      </c>
      <c r="H50" s="3" t="inlineStr">
        <is>
          <t>Scientific Affairs, Icga Foundation</t>
        </is>
      </c>
      <c r="I50" s="3" t="inlineStr">
        <is>
          <t>ankita@icga.co.in</t>
        </is>
      </c>
      <c r="J50" s="3" t="inlineStr">
        <is>
          <t>9971881001 / 9999649610</t>
        </is>
      </c>
      <c r="K50" s="3" t="inlineStr">
        <is>
          <t>Whole Transcriptome Sequencing &amp; Analysis On Illumina Novaseq X Plus Platform (Ribodepletion)</t>
        </is>
      </c>
      <c r="L50" s="3" t="inlineStr">
        <is>
          <t>RNA</t>
        </is>
      </c>
      <c r="M50" s="3" t="inlineStr">
        <is>
          <t>Wts Seq</t>
        </is>
      </c>
      <c r="N50" s="3" t="inlineStr">
        <is>
          <t xml:space="preserve">With Analysis </t>
        </is>
      </c>
      <c r="O50" s="3" t="n">
        <v>12</v>
      </c>
      <c r="P50" s="3" t="inlineStr">
        <is>
          <t>35-36 GB /sample</t>
        </is>
      </c>
      <c r="Q50" s="3" t="n">
        <v>36</v>
      </c>
      <c r="R50" s="3" t="n">
        <v>432</v>
      </c>
      <c r="S50" s="3" t="n">
        <v>25500</v>
      </c>
      <c r="T50" s="5" t="n">
        <v>306000</v>
      </c>
      <c r="U50" s="5" t="n">
        <v>55080</v>
      </c>
      <c r="V50" s="5" t="n">
        <v>361080</v>
      </c>
      <c r="W50" s="3" t="inlineStr">
        <is>
          <t>UG/NGS/TP/2602515</t>
        </is>
      </c>
      <c r="X50" s="3" t="inlineStr">
        <is>
          <t>Direct</t>
        </is>
      </c>
      <c r="Y50" s="3" t="inlineStr">
        <is>
          <t>Maharashtra</t>
        </is>
      </c>
      <c r="Z50" s="3" t="inlineStr">
        <is>
          <t>Pune</t>
        </is>
      </c>
      <c r="AA50" s="3" t="n">
        <v>12</v>
      </c>
      <c r="AB50" s="3" t="n">
        <v>0</v>
      </c>
      <c r="AC50" s="4" t="n">
        <v>46070</v>
      </c>
      <c r="AD50" s="3" t="n">
        <v>0</v>
      </c>
      <c r="AE50" s="3" t="inlineStr">
        <is>
          <t>107</t>
        </is>
      </c>
      <c r="AF50" s="3" t="inlineStr"/>
      <c r="AG50" s="4" t="n">
        <v>46100</v>
      </c>
      <c r="AH50" s="3" t="inlineStr">
        <is>
          <t>UPL/GEN/430/2526</t>
        </is>
      </c>
      <c r="AI50" s="4" t="n">
        <v>46112</v>
      </c>
      <c r="AJ50" s="3" t="inlineStr">
        <is>
          <t xml:space="preserve"> Project Closure</t>
        </is>
      </c>
      <c r="AK50" s="5" t="n">
        <v>306000</v>
      </c>
      <c r="AL50" s="5" t="n">
        <v>55080</v>
      </c>
      <c r="AM50" s="5" t="n">
        <v>361080</v>
      </c>
      <c r="AN50" s="3" t="n">
        <v>107</v>
      </c>
      <c r="AO50" s="5" t="n">
        <v>0</v>
      </c>
      <c r="AP50" s="5" t="n">
        <v>-361080</v>
      </c>
      <c r="AQ50" s="3" t="inlineStr"/>
    </row>
    <row r="51">
      <c r="A51" s="3" t="inlineStr">
        <is>
          <t>50</t>
        </is>
      </c>
      <c r="B51" s="3" t="inlineStr">
        <is>
          <t>NGS 260051</t>
        </is>
      </c>
      <c r="C51" s="4" t="n">
        <v>46070</v>
      </c>
      <c r="D51" s="3" t="inlineStr">
        <is>
          <t>February- 2026</t>
        </is>
      </c>
      <c r="E51" s="4" t="n">
        <v>46070</v>
      </c>
      <c r="F51" s="3" t="inlineStr">
        <is>
          <t>Dr. Ankita Singh</t>
        </is>
      </c>
      <c r="G51" s="3" t="inlineStr">
        <is>
          <t>Scientific Affairs, Icga Foundation</t>
        </is>
      </c>
      <c r="H51" s="3" t="inlineStr">
        <is>
          <t>Scientific Affairs, Icga Foundation</t>
        </is>
      </c>
      <c r="I51" s="3" t="inlineStr">
        <is>
          <t>ankita@icga.co.in</t>
        </is>
      </c>
      <c r="J51" s="3" t="inlineStr">
        <is>
          <t>9971881001 / 9999649610</t>
        </is>
      </c>
      <c r="K51" s="3" t="inlineStr">
        <is>
          <t>Whole Exome Sequencing &amp; Analysis On Illumina Novaseq X Plus Platform (80X)</t>
        </is>
      </c>
      <c r="L51" s="3" t="inlineStr">
        <is>
          <t>DNA</t>
        </is>
      </c>
      <c r="M51" s="3" t="inlineStr">
        <is>
          <t>Wes Seq</t>
        </is>
      </c>
      <c r="N51" s="3" t="inlineStr">
        <is>
          <t xml:space="preserve">With Analysis </t>
        </is>
      </c>
      <c r="O51" s="3" t="n">
        <v>6</v>
      </c>
      <c r="P51" s="3" t="inlineStr">
        <is>
          <t>8-10 GB/Sample (80X)</t>
        </is>
      </c>
      <c r="Q51" s="3" t="n">
        <v>10</v>
      </c>
      <c r="R51" s="3" t="n">
        <v>60</v>
      </c>
      <c r="S51" s="3" t="n">
        <v>10000</v>
      </c>
      <c r="T51" s="5" t="n">
        <v>60000</v>
      </c>
      <c r="U51" s="5" t="n">
        <v>10800</v>
      </c>
      <c r="V51" s="5" t="n">
        <v>70800</v>
      </c>
      <c r="W51" s="3" t="inlineStr">
        <is>
          <t>UG/NGS/TP/2601466</t>
        </is>
      </c>
      <c r="X51" s="3" t="inlineStr">
        <is>
          <t>Direct</t>
        </is>
      </c>
      <c r="Y51" s="3" t="inlineStr">
        <is>
          <t>Maharashtra</t>
        </is>
      </c>
      <c r="Z51" s="3" t="inlineStr">
        <is>
          <t>Pune</t>
        </is>
      </c>
      <c r="AA51" s="3" t="n">
        <v>6</v>
      </c>
      <c r="AB51" s="3" t="n">
        <v>0</v>
      </c>
      <c r="AC51" s="4" t="n">
        <v>46070</v>
      </c>
      <c r="AD51" s="3" t="n">
        <v>0</v>
      </c>
      <c r="AE51" s="3" t="inlineStr">
        <is>
          <t>106 &amp; 107 &amp; 109</t>
        </is>
      </c>
      <c r="AF51" s="3" t="inlineStr"/>
      <c r="AG51" s="4" t="n">
        <v>46158</v>
      </c>
      <c r="AH51" s="3" t="inlineStr">
        <is>
          <t>UPL/GEN/427/2526</t>
        </is>
      </c>
      <c r="AI51" s="4" t="n">
        <v>46112</v>
      </c>
      <c r="AJ51" s="3" t="inlineStr">
        <is>
          <t xml:space="preserve"> Project Closure</t>
        </is>
      </c>
      <c r="AK51" s="5" t="n">
        <v>60000</v>
      </c>
      <c r="AL51" s="5" t="n">
        <v>10800</v>
      </c>
      <c r="AM51" s="5" t="n">
        <v>70800</v>
      </c>
      <c r="AN51" s="3" t="n">
        <v>107</v>
      </c>
      <c r="AO51" s="5" t="n">
        <v>0</v>
      </c>
      <c r="AP51" s="5" t="n">
        <v>-70800</v>
      </c>
      <c r="AQ51" s="3" t="inlineStr"/>
    </row>
    <row r="52">
      <c r="A52" s="3" t="inlineStr">
        <is>
          <t>51</t>
        </is>
      </c>
      <c r="B52" s="3" t="inlineStr">
        <is>
          <t>NGS 260051_1</t>
        </is>
      </c>
      <c r="C52" s="4" t="n">
        <v>46070</v>
      </c>
      <c r="D52" s="3" t="inlineStr">
        <is>
          <t>February- 2026</t>
        </is>
      </c>
      <c r="E52" s="4" t="n">
        <v>46070</v>
      </c>
      <c r="F52" s="3" t="inlineStr">
        <is>
          <t>Dr. Ankita Singh</t>
        </is>
      </c>
      <c r="G52" s="3" t="inlineStr">
        <is>
          <t>Scientific Affairs, Icga Foundation</t>
        </is>
      </c>
      <c r="H52" s="3" t="inlineStr">
        <is>
          <t>Scientific Affairs, Icga Foundation</t>
        </is>
      </c>
      <c r="I52" s="3" t="inlineStr">
        <is>
          <t>ankita@icga.co.in</t>
        </is>
      </c>
      <c r="J52" s="3" t="inlineStr">
        <is>
          <t>9971881001 / 9999649610</t>
        </is>
      </c>
      <c r="K52" s="3" t="inlineStr">
        <is>
          <t>Whole Exome Sequencing &amp; Analysis On Illumina Novaseq X Plus Platform(150X)(Tt)</t>
        </is>
      </c>
      <c r="L52" s="3" t="inlineStr">
        <is>
          <t>DNA</t>
        </is>
      </c>
      <c r="M52" s="3" t="inlineStr">
        <is>
          <t>Wes Seq</t>
        </is>
      </c>
      <c r="N52" s="3" t="inlineStr">
        <is>
          <t xml:space="preserve">With Analysis </t>
        </is>
      </c>
      <c r="O52" s="3" t="n">
        <v>5</v>
      </c>
      <c r="P52" s="3" t="inlineStr">
        <is>
          <t>25-30 GB/Sample (150X)</t>
        </is>
      </c>
      <c r="Q52" s="3" t="n">
        <v>30</v>
      </c>
      <c r="R52" s="3" t="n">
        <v>150</v>
      </c>
      <c r="S52" s="3" t="n">
        <v>25000</v>
      </c>
      <c r="T52" s="5" t="n">
        <v>125000</v>
      </c>
      <c r="U52" s="5" t="n">
        <v>22500</v>
      </c>
      <c r="V52" s="5" t="n">
        <v>147500</v>
      </c>
      <c r="W52" s="3" t="inlineStr">
        <is>
          <t>UG/NGS/TP/2602514</t>
        </is>
      </c>
      <c r="X52" s="3" t="inlineStr">
        <is>
          <t>Direct</t>
        </is>
      </c>
      <c r="Y52" s="3" t="inlineStr">
        <is>
          <t>Maharashtra</t>
        </is>
      </c>
      <c r="Z52" s="3" t="inlineStr">
        <is>
          <t>Pune</t>
        </is>
      </c>
      <c r="AA52" s="3" t="n">
        <v>5</v>
      </c>
      <c r="AB52" s="3" t="n">
        <v>0</v>
      </c>
      <c r="AC52" s="4" t="n">
        <v>46070</v>
      </c>
      <c r="AD52" s="3" t="n">
        <v>0</v>
      </c>
      <c r="AE52" s="3" t="inlineStr">
        <is>
          <t>106 &amp; 107 &amp; 109</t>
        </is>
      </c>
      <c r="AF52" s="3" t="inlineStr"/>
      <c r="AG52" s="4" t="n">
        <v>46158</v>
      </c>
      <c r="AH52" s="3" t="inlineStr">
        <is>
          <t>UPL/GEN/426/2526</t>
        </is>
      </c>
      <c r="AI52" s="4" t="n">
        <v>46112</v>
      </c>
      <c r="AJ52" s="3" t="inlineStr">
        <is>
          <t xml:space="preserve"> Project Closure</t>
        </is>
      </c>
      <c r="AK52" s="5" t="n">
        <v>125000</v>
      </c>
      <c r="AL52" s="5" t="n">
        <v>22500</v>
      </c>
      <c r="AM52" s="5" t="n">
        <v>147500</v>
      </c>
      <c r="AN52" s="3" t="n">
        <v>107</v>
      </c>
      <c r="AO52" s="5" t="n">
        <v>0</v>
      </c>
      <c r="AP52" s="5" t="n">
        <v>-147500</v>
      </c>
      <c r="AQ52" s="3" t="inlineStr"/>
    </row>
    <row r="53">
      <c r="A53" s="3" t="inlineStr">
        <is>
          <t>52</t>
        </is>
      </c>
      <c r="B53" s="3" t="inlineStr">
        <is>
          <t>NGS 260052</t>
        </is>
      </c>
      <c r="C53" s="4" t="n">
        <v>46071</v>
      </c>
      <c r="D53" s="3" t="inlineStr">
        <is>
          <t>February- 2026</t>
        </is>
      </c>
      <c r="E53" s="4" t="n">
        <v>46074</v>
      </c>
      <c r="F53" s="3" t="inlineStr">
        <is>
          <t>Dr. Ankita Singh</t>
        </is>
      </c>
      <c r="G53" s="3" t="inlineStr">
        <is>
          <t>Scientific Affairs, Icga Foundation</t>
        </is>
      </c>
      <c r="H53" s="3" t="inlineStr">
        <is>
          <t>Scientific Affairs, Icga Foundation</t>
        </is>
      </c>
      <c r="I53" s="3" t="inlineStr">
        <is>
          <t>ankita@icga.co.in</t>
        </is>
      </c>
      <c r="J53" s="3" t="inlineStr">
        <is>
          <t>9971881001 / 9999649610</t>
        </is>
      </c>
      <c r="K53" s="3" t="inlineStr">
        <is>
          <t>Whole Exome Sequencing &amp; Analysis On Illumina Novaseq X Plus Platform(150X)(Tt)</t>
        </is>
      </c>
      <c r="L53" s="3" t="inlineStr">
        <is>
          <t>Tissue</t>
        </is>
      </c>
      <c r="M53" s="3" t="inlineStr">
        <is>
          <t>Wes Seq</t>
        </is>
      </c>
      <c r="N53" s="3" t="inlineStr">
        <is>
          <t xml:space="preserve">With Analysis </t>
        </is>
      </c>
      <c r="O53" s="3" t="n">
        <v>51</v>
      </c>
      <c r="P53" s="3" t="inlineStr">
        <is>
          <t>25-30 GB/Sample (150X)</t>
        </is>
      </c>
      <c r="Q53" s="3" t="n">
        <v>30</v>
      </c>
      <c r="R53" s="3" t="n">
        <v>1530</v>
      </c>
      <c r="S53" s="3" t="n">
        <v>25000</v>
      </c>
      <c r="T53" s="5" t="n">
        <v>1275000</v>
      </c>
      <c r="U53" s="5" t="n">
        <v>229500</v>
      </c>
      <c r="V53" s="5" t="n">
        <v>1504500</v>
      </c>
      <c r="W53" s="3" t="inlineStr">
        <is>
          <t>UG/NGS/TP/2602514</t>
        </is>
      </c>
      <c r="X53" s="3" t="inlineStr">
        <is>
          <t>Direct</t>
        </is>
      </c>
      <c r="Y53" s="3" t="inlineStr">
        <is>
          <t>Maharashtra</t>
        </is>
      </c>
      <c r="Z53" s="3" t="inlineStr">
        <is>
          <t>Pune</t>
        </is>
      </c>
      <c r="AA53" s="3" t="n">
        <v>51</v>
      </c>
      <c r="AB53" s="3" t="n">
        <v>0</v>
      </c>
      <c r="AC53" s="4" t="n">
        <v>46080</v>
      </c>
      <c r="AD53" s="3" t="n">
        <v>6</v>
      </c>
      <c r="AE53" s="3" t="inlineStr">
        <is>
          <t>108 &amp; 110</t>
        </is>
      </c>
      <c r="AF53" s="3" t="inlineStr"/>
      <c r="AG53" s="4" t="n">
        <v>46121</v>
      </c>
      <c r="AH53" s="3" t="inlineStr">
        <is>
          <t>UPL/GEN/426/2526</t>
        </is>
      </c>
      <c r="AI53" s="4" t="n">
        <v>46112</v>
      </c>
      <c r="AJ53" s="3" t="inlineStr">
        <is>
          <t xml:space="preserve"> Project Closure</t>
        </is>
      </c>
      <c r="AK53" s="5" t="n">
        <v>1275000</v>
      </c>
      <c r="AL53" s="5" t="n">
        <v>229500</v>
      </c>
      <c r="AM53" s="5" t="n">
        <v>1504500</v>
      </c>
      <c r="AN53" s="3" t="n">
        <v>107</v>
      </c>
      <c r="AO53" s="5" t="n">
        <v>0</v>
      </c>
      <c r="AP53" s="5" t="n">
        <v>-1504500</v>
      </c>
      <c r="AQ53" s="3" t="inlineStr"/>
    </row>
    <row r="54">
      <c r="A54" s="3" t="inlineStr">
        <is>
          <t>53</t>
        </is>
      </c>
      <c r="B54" s="3" t="inlineStr">
        <is>
          <t>NGS 260053</t>
        </is>
      </c>
      <c r="C54" s="4" t="n">
        <v>46071</v>
      </c>
      <c r="D54" s="3" t="inlineStr">
        <is>
          <t>February- 2026</t>
        </is>
      </c>
      <c r="E54" s="4" t="n">
        <v>46076</v>
      </c>
      <c r="F54" s="3" t="inlineStr">
        <is>
          <t>Abhishek Tripathi</t>
        </is>
      </c>
      <c r="G54" s="3" t="inlineStr">
        <is>
          <t>Novelgene Technology Private Limited</t>
        </is>
      </c>
      <c r="H54" s="3" t="inlineStr">
        <is>
          <t>Novelgene Technology Private Limited</t>
        </is>
      </c>
      <c r="I54" s="3" t="inlineStr">
        <is>
          <t>abhishek@novelgenetech.com</t>
        </is>
      </c>
      <c r="J54" s="3" t="inlineStr">
        <is>
          <t>89777 41872</t>
        </is>
      </c>
      <c r="K54" s="3" t="inlineStr">
        <is>
          <t>Transcriptome Sequencing On Illumina Novaseq X Plus Platform</t>
        </is>
      </c>
      <c r="L54" s="3" t="inlineStr">
        <is>
          <t>Leaf</t>
        </is>
      </c>
      <c r="M54" s="3" t="inlineStr">
        <is>
          <t>Wts Seq</t>
        </is>
      </c>
      <c r="N54" s="3" t="inlineStr">
        <is>
          <t>Without Analysis</t>
        </is>
      </c>
      <c r="O54" s="3" t="n">
        <v>3</v>
      </c>
      <c r="P54" s="3" t="inlineStr">
        <is>
          <t>6 GB/Sample</t>
        </is>
      </c>
      <c r="Q54" s="3" t="n">
        <v>6</v>
      </c>
      <c r="R54" s="3" t="n">
        <v>18</v>
      </c>
      <c r="S54" s="3" t="n">
        <v>9000</v>
      </c>
      <c r="T54" s="5" t="n">
        <v>27000</v>
      </c>
      <c r="U54" s="5" t="n">
        <v>4860</v>
      </c>
      <c r="V54" s="5" t="n">
        <v>31860</v>
      </c>
      <c r="W54" s="3" t="inlineStr">
        <is>
          <t>UG/NGS/TP/2602546</t>
        </is>
      </c>
      <c r="X54" s="3" t="inlineStr">
        <is>
          <t xml:space="preserve">Harsh </t>
        </is>
      </c>
      <c r="Y54" s="3" t="inlineStr">
        <is>
          <t>Telangana</t>
        </is>
      </c>
      <c r="Z54" s="3" t="inlineStr">
        <is>
          <t>Hyderabad</t>
        </is>
      </c>
      <c r="AA54" s="3" t="n">
        <v>3</v>
      </c>
      <c r="AB54" s="3" t="n">
        <v>0</v>
      </c>
      <c r="AC54" s="4" t="n">
        <v>46081</v>
      </c>
      <c r="AD54" s="3" t="n">
        <v>5</v>
      </c>
      <c r="AE54" s="3" t="inlineStr">
        <is>
          <t>113 &amp; 114</t>
        </is>
      </c>
      <c r="AF54" s="4" t="n">
        <v>46114</v>
      </c>
      <c r="AG54" s="3" t="inlineStr"/>
      <c r="AH54" s="3" t="inlineStr">
        <is>
          <t>UPL/GEN/2627/36</t>
        </is>
      </c>
      <c r="AI54" s="4" t="n">
        <v>46171</v>
      </c>
      <c r="AJ54" s="3" t="inlineStr">
        <is>
          <t xml:space="preserve"> Project Closure</t>
        </is>
      </c>
      <c r="AK54" s="5" t="n">
        <v>27000</v>
      </c>
      <c r="AL54" s="5" t="n">
        <v>4860</v>
      </c>
      <c r="AM54" s="5" t="n">
        <v>31860</v>
      </c>
      <c r="AN54" s="3" t="n">
        <v>48</v>
      </c>
      <c r="AO54" s="5" t="n">
        <v>0</v>
      </c>
      <c r="AP54" s="5" t="n">
        <v>-31860</v>
      </c>
      <c r="AQ54" s="3" t="inlineStr"/>
    </row>
    <row r="55">
      <c r="A55" s="3" t="inlineStr">
        <is>
          <t>54</t>
        </is>
      </c>
      <c r="B55" s="3" t="inlineStr">
        <is>
          <t>NGS 260054</t>
        </is>
      </c>
      <c r="C55" s="4" t="n">
        <v>46071</v>
      </c>
      <c r="D55" s="3" t="inlineStr">
        <is>
          <t>February- 2026</t>
        </is>
      </c>
      <c r="E55" s="4" t="n">
        <v>46076</v>
      </c>
      <c r="F55" s="3" t="inlineStr">
        <is>
          <t>Abhishek Tripathi</t>
        </is>
      </c>
      <c r="G55" s="3" t="inlineStr">
        <is>
          <t>Novelgene Technology Private Limited</t>
        </is>
      </c>
      <c r="H55" s="3" t="inlineStr">
        <is>
          <t>Novelgene Technology Private Limited</t>
        </is>
      </c>
      <c r="I55" s="3" t="inlineStr">
        <is>
          <t>abhishek@novelgenetech.com</t>
        </is>
      </c>
      <c r="J55" s="3" t="inlineStr">
        <is>
          <t>89777 41872</t>
        </is>
      </c>
      <c r="K55" s="3" t="inlineStr">
        <is>
          <t>Transcriptome Sequencing On Illumina Novaseq X Plus Platform (Ribodepletion)</t>
        </is>
      </c>
      <c r="L55" s="3" t="inlineStr">
        <is>
          <t>RNA</t>
        </is>
      </c>
      <c r="M55" s="3" t="inlineStr">
        <is>
          <t>Wts Seq</t>
        </is>
      </c>
      <c r="N55" s="3" t="inlineStr">
        <is>
          <t>Without Analysis</t>
        </is>
      </c>
      <c r="O55" s="3" t="n">
        <v>12</v>
      </c>
      <c r="P55" s="3" t="inlineStr">
        <is>
          <t>6 GB /Sample</t>
        </is>
      </c>
      <c r="Q55" s="3" t="n">
        <v>6</v>
      </c>
      <c r="R55" s="3" t="n">
        <v>72</v>
      </c>
      <c r="S55" s="3" t="n">
        <v>13000</v>
      </c>
      <c r="T55" s="5" t="n">
        <v>156000</v>
      </c>
      <c r="U55" s="5" t="n">
        <v>28080</v>
      </c>
      <c r="V55" s="5" t="n">
        <v>184080</v>
      </c>
      <c r="W55" s="3" t="inlineStr">
        <is>
          <t>UG/NGS/TP/2602546</t>
        </is>
      </c>
      <c r="X55" s="3" t="inlineStr">
        <is>
          <t xml:space="preserve">Harsh </t>
        </is>
      </c>
      <c r="Y55" s="3" t="inlineStr">
        <is>
          <t>Telangana</t>
        </is>
      </c>
      <c r="Z55" s="3" t="inlineStr">
        <is>
          <t>Hyderabad</t>
        </is>
      </c>
      <c r="AA55" s="3" t="n">
        <v>12</v>
      </c>
      <c r="AB55" s="3" t="n">
        <v>0</v>
      </c>
      <c r="AC55" s="4" t="n">
        <v>46077</v>
      </c>
      <c r="AD55" s="3" t="n">
        <v>1</v>
      </c>
      <c r="AE55" s="3" t="inlineStr">
        <is>
          <t>111</t>
        </is>
      </c>
      <c r="AF55" s="4" t="n">
        <v>46105</v>
      </c>
      <c r="AG55" s="3" t="inlineStr"/>
      <c r="AH55" s="3" t="inlineStr">
        <is>
          <t>UPL/GEN/396/2526</t>
        </is>
      </c>
      <c r="AI55" s="4" t="n">
        <v>46105</v>
      </c>
      <c r="AJ55" s="3" t="inlineStr">
        <is>
          <t xml:space="preserve"> Project Closure</t>
        </is>
      </c>
      <c r="AK55" s="5" t="n">
        <v>156000</v>
      </c>
      <c r="AL55" s="5" t="n">
        <v>28080</v>
      </c>
      <c r="AM55" s="5" t="n">
        <v>184080</v>
      </c>
      <c r="AN55" s="3" t="n">
        <v>114</v>
      </c>
      <c r="AO55" s="5" t="n">
        <v>0</v>
      </c>
      <c r="AP55" s="5" t="n">
        <v>-184080</v>
      </c>
      <c r="AQ55" s="3" t="inlineStr"/>
    </row>
    <row r="56">
      <c r="A56" s="3" t="inlineStr">
        <is>
          <t>55</t>
        </is>
      </c>
      <c r="B56" s="3" t="inlineStr">
        <is>
          <t>NGS 260055</t>
        </is>
      </c>
      <c r="C56" s="4" t="n">
        <v>46071</v>
      </c>
      <c r="D56" s="3" t="inlineStr">
        <is>
          <t>February- 2026</t>
        </is>
      </c>
      <c r="E56" s="4" t="n">
        <v>46076</v>
      </c>
      <c r="F56" s="3" t="inlineStr">
        <is>
          <t>Abhishek Tripathi</t>
        </is>
      </c>
      <c r="G56" s="3" t="inlineStr">
        <is>
          <t>Novelgene Technology Private Limited</t>
        </is>
      </c>
      <c r="H56" s="3" t="inlineStr">
        <is>
          <t>Novelgene Technology Private Limited</t>
        </is>
      </c>
      <c r="I56" s="3" t="inlineStr">
        <is>
          <t>abhishek@novelgenetech.com</t>
        </is>
      </c>
      <c r="J56" s="3" t="inlineStr">
        <is>
          <t>89777 41872</t>
        </is>
      </c>
      <c r="K56" s="3" t="inlineStr">
        <is>
          <t>Transcriptome Sequencing On Illumina Novaseq X Plus Platform</t>
        </is>
      </c>
      <c r="L56" s="3" t="inlineStr">
        <is>
          <t>RNA</t>
        </is>
      </c>
      <c r="M56" s="3" t="inlineStr">
        <is>
          <t>Wts Seq</t>
        </is>
      </c>
      <c r="N56" s="3" t="inlineStr">
        <is>
          <t>Without Analysis</t>
        </is>
      </c>
      <c r="O56" s="3" t="n">
        <v>8</v>
      </c>
      <c r="P56" s="3" t="inlineStr">
        <is>
          <t>6 GB /Sample</t>
        </is>
      </c>
      <c r="Q56" s="3" t="n">
        <v>6</v>
      </c>
      <c r="R56" s="3" t="n">
        <v>48</v>
      </c>
      <c r="S56" s="3" t="n">
        <v>9000</v>
      </c>
      <c r="T56" s="5" t="n">
        <v>72000</v>
      </c>
      <c r="U56" s="5" t="n">
        <v>12960</v>
      </c>
      <c r="V56" s="5" t="n">
        <v>84960</v>
      </c>
      <c r="W56" s="3" t="inlineStr">
        <is>
          <t>UG/NGS/TP/2602532</t>
        </is>
      </c>
      <c r="X56" s="3" t="inlineStr">
        <is>
          <t xml:space="preserve">Harsh </t>
        </is>
      </c>
      <c r="Y56" s="3" t="inlineStr">
        <is>
          <t>Telangana</t>
        </is>
      </c>
      <c r="Z56" s="3" t="inlineStr">
        <is>
          <t>Hyderabad</t>
        </is>
      </c>
      <c r="AA56" s="3" t="n">
        <v>8</v>
      </c>
      <c r="AB56" s="3" t="n">
        <v>0</v>
      </c>
      <c r="AC56" s="4" t="n">
        <v>46077</v>
      </c>
      <c r="AD56" s="3" t="n">
        <v>1</v>
      </c>
      <c r="AE56" s="3" t="inlineStr">
        <is>
          <t>111 &amp;113 &amp; 114</t>
        </is>
      </c>
      <c r="AF56" s="4" t="n">
        <v>46114</v>
      </c>
      <c r="AG56" s="3" t="inlineStr"/>
      <c r="AH56" s="3" t="inlineStr">
        <is>
          <t>UPL/GEN/2627/37</t>
        </is>
      </c>
      <c r="AI56" s="4" t="n">
        <v>46171</v>
      </c>
      <c r="AJ56" s="3" t="inlineStr">
        <is>
          <t xml:space="preserve"> Project Closure</t>
        </is>
      </c>
      <c r="AK56" s="5" t="n">
        <v>72000</v>
      </c>
      <c r="AL56" s="5" t="n">
        <v>12960</v>
      </c>
      <c r="AM56" s="5" t="n">
        <v>84960</v>
      </c>
      <c r="AN56" s="3" t="n">
        <v>48</v>
      </c>
      <c r="AO56" s="5" t="n">
        <v>0</v>
      </c>
      <c r="AP56" s="5" t="n">
        <v>-84960</v>
      </c>
      <c r="AQ56" s="3" t="inlineStr"/>
    </row>
    <row r="57">
      <c r="A57" s="3" t="inlineStr">
        <is>
          <t>56</t>
        </is>
      </c>
      <c r="B57" s="3" t="inlineStr">
        <is>
          <t>NGS 260056</t>
        </is>
      </c>
      <c r="C57" s="4" t="n">
        <v>46071</v>
      </c>
      <c r="D57" s="3" t="inlineStr">
        <is>
          <t>February- 2026</t>
        </is>
      </c>
      <c r="E57" s="4" t="n">
        <v>46077</v>
      </c>
      <c r="F57" s="3" t="inlineStr">
        <is>
          <t>Sudharson Narayanan</t>
        </is>
      </c>
      <c r="G57" s="3" t="inlineStr">
        <is>
          <t>Symbiont Life Sciences</t>
        </is>
      </c>
      <c r="H57" s="3" t="inlineStr">
        <is>
          <t>Symbiont Life Sciences</t>
        </is>
      </c>
      <c r="I57" s="3" t="inlineStr">
        <is>
          <t>symbiontcs@gmail.com</t>
        </is>
      </c>
      <c r="J57" s="3" t="inlineStr">
        <is>
          <t>8838222756</t>
        </is>
      </c>
      <c r="K57" s="3" t="inlineStr">
        <is>
          <t>Whole Genome Sequencing &amp; Analysis On Illumina Platforms</t>
        </is>
      </c>
      <c r="L57" s="3" t="inlineStr">
        <is>
          <t>Leaf</t>
        </is>
      </c>
      <c r="M57" s="3" t="inlineStr">
        <is>
          <t>Wgs Seq</t>
        </is>
      </c>
      <c r="N57" s="3" t="inlineStr">
        <is>
          <t>With Analysis</t>
        </is>
      </c>
      <c r="O57" s="3" t="n">
        <v>5</v>
      </c>
      <c r="P57" s="3" t="inlineStr">
        <is>
          <t>10-15 GB/sample (100X coverage)</t>
        </is>
      </c>
      <c r="Q57" s="3" t="n">
        <v>15</v>
      </c>
      <c r="R57" s="3" t="n">
        <v>75</v>
      </c>
      <c r="S57" s="3" t="n">
        <v>14000</v>
      </c>
      <c r="T57" s="5" t="n">
        <v>70000</v>
      </c>
      <c r="U57" s="5" t="n">
        <v>12600</v>
      </c>
      <c r="V57" s="5" t="n">
        <v>82600</v>
      </c>
      <c r="W57" s="3" t="inlineStr">
        <is>
          <t>UG/NGS/TP/2306491</t>
        </is>
      </c>
      <c r="X57" s="3" t="inlineStr">
        <is>
          <t xml:space="preserve">South -2 </t>
        </is>
      </c>
      <c r="Y57" s="3" t="inlineStr">
        <is>
          <t>Tamil Nadu</t>
        </is>
      </c>
      <c r="Z57" s="3" t="inlineStr">
        <is>
          <t>Chennai</t>
        </is>
      </c>
      <c r="AA57" s="3" t="n">
        <v>5</v>
      </c>
      <c r="AB57" s="3" t="n">
        <v>0</v>
      </c>
      <c r="AC57" s="4" t="n">
        <v>46093</v>
      </c>
      <c r="AD57" s="3" t="n">
        <v>16</v>
      </c>
      <c r="AE57" s="3" t="inlineStr">
        <is>
          <t>115</t>
        </is>
      </c>
      <c r="AF57" s="3" t="inlineStr"/>
      <c r="AG57" s="4" t="n">
        <v>46215</v>
      </c>
      <c r="AH57" s="3" t="inlineStr"/>
      <c r="AI57" s="3" t="inlineStr"/>
      <c r="AJ57" s="3" t="inlineStr">
        <is>
          <t xml:space="preserve"> Project Closure</t>
        </is>
      </c>
      <c r="AK57" s="5" t="n">
        <v>70000</v>
      </c>
      <c r="AL57" s="5" t="n">
        <v>12600</v>
      </c>
      <c r="AM57" s="5" t="n">
        <v>82600</v>
      </c>
      <c r="AN57" s="3" t="inlineStr"/>
      <c r="AO57" s="5" t="n">
        <v>82600</v>
      </c>
      <c r="AP57" s="5" t="n">
        <v>0</v>
      </c>
      <c r="AQ57" s="4" t="n">
        <v>46216</v>
      </c>
    </row>
    <row r="58">
      <c r="A58" s="3" t="inlineStr">
        <is>
          <t>57</t>
        </is>
      </c>
      <c r="B58" s="3" t="inlineStr">
        <is>
          <t>NGS 260057</t>
        </is>
      </c>
      <c r="C58" s="4" t="n">
        <v>46071</v>
      </c>
      <c r="D58" s="3" t="inlineStr">
        <is>
          <t>February- 2026</t>
        </is>
      </c>
      <c r="E58" s="4" t="n">
        <v>46077</v>
      </c>
      <c r="F58" s="3" t="inlineStr">
        <is>
          <t>Sudharson Narayanan</t>
        </is>
      </c>
      <c r="G58" s="3" t="inlineStr">
        <is>
          <t>Symbiont Life Sciences</t>
        </is>
      </c>
      <c r="H58" s="3" t="inlineStr">
        <is>
          <t>Symbiont Life Sciences</t>
        </is>
      </c>
      <c r="I58" s="3" t="inlineStr">
        <is>
          <t>symbiontcs@gmail.com</t>
        </is>
      </c>
      <c r="J58" s="3" t="inlineStr">
        <is>
          <t>8838222756</t>
        </is>
      </c>
      <c r="K58" s="3" t="inlineStr">
        <is>
          <t>Transcriptome Sequencing &amp; Analysis On Illumina Novaseq X Plus Platform</t>
        </is>
      </c>
      <c r="L58" s="3" t="inlineStr">
        <is>
          <t>Sam Cells In The RNA Later</t>
        </is>
      </c>
      <c r="M58" s="3" t="inlineStr">
        <is>
          <t>Wts Seq</t>
        </is>
      </c>
      <c r="N58" s="3" t="inlineStr">
        <is>
          <t>With Analysis</t>
        </is>
      </c>
      <c r="O58" s="3" t="n">
        <v>15</v>
      </c>
      <c r="P58" s="3" t="inlineStr">
        <is>
          <t>8-9 GB /sample</t>
        </is>
      </c>
      <c r="Q58" s="3" t="n">
        <v>9</v>
      </c>
      <c r="R58" s="3" t="n">
        <v>135</v>
      </c>
      <c r="S58" s="3" t="n">
        <v>13000</v>
      </c>
      <c r="T58" s="5" t="n">
        <v>195000</v>
      </c>
      <c r="U58" s="5" t="n">
        <v>35100</v>
      </c>
      <c r="V58" s="5" t="n">
        <v>230100</v>
      </c>
      <c r="W58" s="3" t="inlineStr">
        <is>
          <t>UG/NGS/TP/2409987R2</t>
        </is>
      </c>
      <c r="X58" s="3" t="inlineStr">
        <is>
          <t xml:space="preserve">South -2 </t>
        </is>
      </c>
      <c r="Y58" s="3" t="inlineStr">
        <is>
          <t>Tamil Nadu</t>
        </is>
      </c>
      <c r="Z58" s="3" t="inlineStr">
        <is>
          <t>Chennai</t>
        </is>
      </c>
      <c r="AA58" s="3" t="n">
        <v>15</v>
      </c>
      <c r="AB58" s="3" t="n">
        <v>0</v>
      </c>
      <c r="AC58" s="4" t="n">
        <v>46101</v>
      </c>
      <c r="AD58" s="3" t="n">
        <v>24</v>
      </c>
      <c r="AE58" s="3" t="inlineStr">
        <is>
          <t>116 &amp; 117 &amp; 128</t>
        </is>
      </c>
      <c r="AF58" s="3" t="inlineStr"/>
      <c r="AG58" s="3" t="inlineStr"/>
      <c r="AH58" s="3" t="inlineStr"/>
      <c r="AI58" s="3" t="inlineStr"/>
      <c r="AJ58" s="3" t="inlineStr"/>
      <c r="AK58" s="5" t="n">
        <v>195000</v>
      </c>
      <c r="AL58" s="5" t="n">
        <v>35100</v>
      </c>
      <c r="AM58" s="5" t="n">
        <v>230100</v>
      </c>
      <c r="AN58" s="3" t="inlineStr"/>
      <c r="AO58" s="5" t="n">
        <v>0</v>
      </c>
      <c r="AP58" s="5" t="n">
        <v>-230100</v>
      </c>
      <c r="AQ58" s="3" t="inlineStr"/>
    </row>
    <row r="59">
      <c r="A59" s="3" t="inlineStr">
        <is>
          <t>58</t>
        </is>
      </c>
      <c r="B59" s="3" t="inlineStr">
        <is>
          <t>NGS 260058</t>
        </is>
      </c>
      <c r="C59" s="4" t="n">
        <v>46071</v>
      </c>
      <c r="D59" s="3" t="inlineStr">
        <is>
          <t>February- 2026</t>
        </is>
      </c>
      <c r="E59" s="4" t="n">
        <v>46077</v>
      </c>
      <c r="F59" s="3" t="inlineStr">
        <is>
          <t>Sudharson Narayanan</t>
        </is>
      </c>
      <c r="G59" s="3" t="inlineStr">
        <is>
          <t>Symbiont Life Sciences</t>
        </is>
      </c>
      <c r="H59" s="3" t="inlineStr">
        <is>
          <t>Symbiont Life Sciences</t>
        </is>
      </c>
      <c r="I59" s="3" t="inlineStr">
        <is>
          <t>symbiontcs@gmail.com</t>
        </is>
      </c>
      <c r="J59" s="3" t="inlineStr">
        <is>
          <t>8838222756</t>
        </is>
      </c>
      <c r="K59" s="3" t="inlineStr">
        <is>
          <t>Whole Genome Sequencing &amp; Analysis On Illumina Platforms</t>
        </is>
      </c>
      <c r="L59" s="3" t="inlineStr">
        <is>
          <t>Leaf</t>
        </is>
      </c>
      <c r="M59" s="3" t="inlineStr">
        <is>
          <t>Wgs Seq</t>
        </is>
      </c>
      <c r="N59" s="3" t="inlineStr">
        <is>
          <t>With Analysis</t>
        </is>
      </c>
      <c r="O59" s="3" t="n">
        <v>4</v>
      </c>
      <c r="P59" s="3" t="inlineStr">
        <is>
          <t>10-15 GB/sample (100X coverage)</t>
        </is>
      </c>
      <c r="Q59" s="3" t="n">
        <v>15</v>
      </c>
      <c r="R59" s="3" t="n">
        <v>0</v>
      </c>
      <c r="S59" s="3" t="n">
        <v>14000</v>
      </c>
      <c r="T59" s="5" t="n">
        <v>56000</v>
      </c>
      <c r="U59" s="5" t="n">
        <v>10080</v>
      </c>
      <c r="V59" s="5" t="n">
        <v>66080</v>
      </c>
      <c r="W59" s="3" t="inlineStr">
        <is>
          <t>UG/NGS/TP/2306491</t>
        </is>
      </c>
      <c r="X59" s="3" t="inlineStr">
        <is>
          <t xml:space="preserve">South -2 </t>
        </is>
      </c>
      <c r="Y59" s="3" t="inlineStr">
        <is>
          <t>Tamil Nadu</t>
        </is>
      </c>
      <c r="Z59" s="3" t="inlineStr">
        <is>
          <t>Chennai</t>
        </is>
      </c>
      <c r="AA59" s="3" t="n">
        <v>4</v>
      </c>
      <c r="AB59" s="3" t="n">
        <v>0</v>
      </c>
      <c r="AC59" s="4" t="n">
        <v>46093</v>
      </c>
      <c r="AD59" s="3" t="n">
        <v>16</v>
      </c>
      <c r="AE59" s="3" t="inlineStr">
        <is>
          <t>115</t>
        </is>
      </c>
      <c r="AF59" s="3" t="inlineStr"/>
      <c r="AG59" s="3" t="inlineStr"/>
      <c r="AH59" s="3" t="inlineStr"/>
      <c r="AI59" s="3" t="inlineStr"/>
      <c r="AJ59" s="3" t="inlineStr"/>
      <c r="AK59" s="5" t="n">
        <v>56000</v>
      </c>
      <c r="AL59" s="5" t="n">
        <v>10080</v>
      </c>
      <c r="AM59" s="5" t="n">
        <v>66080</v>
      </c>
      <c r="AN59" s="3" t="inlineStr"/>
      <c r="AO59" s="5" t="n">
        <v>0</v>
      </c>
      <c r="AP59" s="5" t="n">
        <v>-66080</v>
      </c>
      <c r="AQ59" s="3" t="inlineStr"/>
    </row>
    <row r="60">
      <c r="A60" s="3" t="inlineStr">
        <is>
          <t>59</t>
        </is>
      </c>
      <c r="B60" s="3" t="inlineStr">
        <is>
          <t>NGS 260059</t>
        </is>
      </c>
      <c r="C60" s="4" t="n">
        <v>46071</v>
      </c>
      <c r="D60" s="3" t="inlineStr">
        <is>
          <t>February- 2026</t>
        </is>
      </c>
      <c r="E60" s="4" t="n">
        <v>46077</v>
      </c>
      <c r="F60" s="3" t="inlineStr">
        <is>
          <t>Sudharson Narayanan</t>
        </is>
      </c>
      <c r="G60" s="3" t="inlineStr">
        <is>
          <t>Symbiont Life Sciences</t>
        </is>
      </c>
      <c r="H60" s="3" t="inlineStr">
        <is>
          <t>Symbiont Life Sciences</t>
        </is>
      </c>
      <c r="I60" s="3" t="inlineStr">
        <is>
          <t>symbiontcs@gmail.com</t>
        </is>
      </c>
      <c r="J60" s="3" t="inlineStr">
        <is>
          <t>8838222756</t>
        </is>
      </c>
      <c r="K60" s="3" t="inlineStr">
        <is>
          <t>Transcriptome Sequencing &amp; Analysis On Illumina Novaseq X Plus Platform</t>
        </is>
      </c>
      <c r="L60" s="3" t="inlineStr">
        <is>
          <t>Sam Cells In The RNA Later</t>
        </is>
      </c>
      <c r="M60" s="3" t="inlineStr">
        <is>
          <t>Wts Seq</t>
        </is>
      </c>
      <c r="N60" s="3" t="inlineStr">
        <is>
          <t>With Analysis</t>
        </is>
      </c>
      <c r="O60" s="3" t="n">
        <v>3</v>
      </c>
      <c r="P60" s="3" t="inlineStr">
        <is>
          <t>8-9 GB /sample</t>
        </is>
      </c>
      <c r="Q60" s="3" t="n">
        <v>9</v>
      </c>
      <c r="R60" s="3" t="n">
        <v>27</v>
      </c>
      <c r="S60" s="3" t="n">
        <v>10500</v>
      </c>
      <c r="T60" s="5" t="n">
        <v>31500</v>
      </c>
      <c r="U60" s="5" t="n">
        <v>5670</v>
      </c>
      <c r="V60" s="5" t="n">
        <v>37170</v>
      </c>
      <c r="W60" s="3" t="inlineStr">
        <is>
          <t>UG/NGS/TP/2409987R2</t>
        </is>
      </c>
      <c r="X60" s="3" t="inlineStr">
        <is>
          <t xml:space="preserve">South -2 </t>
        </is>
      </c>
      <c r="Y60" s="3" t="inlineStr">
        <is>
          <t>Tamil Nadu</t>
        </is>
      </c>
      <c r="Z60" s="3" t="inlineStr">
        <is>
          <t>Chennai</t>
        </is>
      </c>
      <c r="AA60" s="3" t="n">
        <v>3</v>
      </c>
      <c r="AB60" s="3" t="n">
        <v>0</v>
      </c>
      <c r="AC60" s="4" t="n">
        <v>46093</v>
      </c>
      <c r="AD60" s="3" t="n">
        <v>16</v>
      </c>
      <c r="AE60" s="3" t="inlineStr">
        <is>
          <t>111</t>
        </is>
      </c>
      <c r="AF60" s="3" t="inlineStr"/>
      <c r="AG60" s="3" t="inlineStr"/>
      <c r="AH60" s="3" t="inlineStr"/>
      <c r="AI60" s="3" t="inlineStr"/>
      <c r="AJ60" s="3" t="inlineStr"/>
      <c r="AK60" s="5" t="n">
        <v>31500</v>
      </c>
      <c r="AL60" s="5" t="n">
        <v>5670</v>
      </c>
      <c r="AM60" s="5" t="n">
        <v>37170</v>
      </c>
      <c r="AN60" s="3" t="inlineStr"/>
      <c r="AO60" s="5" t="n">
        <v>0</v>
      </c>
      <c r="AP60" s="5" t="n">
        <v>-37170</v>
      </c>
      <c r="AQ60" s="3" t="inlineStr"/>
    </row>
    <row r="61">
      <c r="A61" s="3" t="inlineStr">
        <is>
          <t>60</t>
        </is>
      </c>
      <c r="B61" s="3" t="inlineStr">
        <is>
          <t>NGS 260060</t>
        </is>
      </c>
      <c r="C61" s="4" t="n">
        <v>46071</v>
      </c>
      <c r="D61" s="3" t="inlineStr">
        <is>
          <t>February- 2026</t>
        </is>
      </c>
      <c r="E61" s="4" t="n">
        <v>46074</v>
      </c>
      <c r="F61" s="3" t="inlineStr">
        <is>
          <t>Dr. Singhav Gaurav</t>
        </is>
      </c>
      <c r="G61" s="3" t="inlineStr">
        <is>
          <t>Gujarat University</t>
        </is>
      </c>
      <c r="H61" s="3" t="inlineStr">
        <is>
          <t>Gujarat University</t>
        </is>
      </c>
      <c r="I61" s="3" t="inlineStr">
        <is>
          <t>Sindhav Gaurang &lt;drsindhavlab@gmail.com&gt;</t>
        </is>
      </c>
      <c r="J61" s="3" t="inlineStr"/>
      <c r="K61" s="3" t="inlineStr">
        <is>
          <t>Mitochondrial Genome Sequencing &amp; Analysis On Illumina Novaseq X Plus Platform</t>
        </is>
      </c>
      <c r="L61" s="3" t="inlineStr">
        <is>
          <t>Tissue ( Millipede )</t>
        </is>
      </c>
      <c r="M61" s="3" t="inlineStr">
        <is>
          <t>Mito Seq</t>
        </is>
      </c>
      <c r="N61" s="3" t="inlineStr">
        <is>
          <t>With Analysis</t>
        </is>
      </c>
      <c r="O61" s="3" t="n">
        <v>2</v>
      </c>
      <c r="P61" s="3" t="inlineStr">
        <is>
          <t>4-5 GB /sample</t>
        </is>
      </c>
      <c r="Q61" s="3" t="n">
        <v>5</v>
      </c>
      <c r="R61" s="3" t="n">
        <v>10</v>
      </c>
      <c r="S61" s="3" t="n">
        <v>13500</v>
      </c>
      <c r="T61" s="5" t="n">
        <v>27000</v>
      </c>
      <c r="U61" s="5" t="n">
        <v>4860</v>
      </c>
      <c r="V61" s="5" t="n">
        <v>31860</v>
      </c>
      <c r="W61" s="3" t="inlineStr">
        <is>
          <t>UG/NGS/TP/2601489r1</t>
        </is>
      </c>
      <c r="X61" s="3" t="inlineStr">
        <is>
          <t>Direct</t>
        </is>
      </c>
      <c r="Y61" s="3" t="inlineStr">
        <is>
          <t>Gujrat</t>
        </is>
      </c>
      <c r="Z61" s="3" t="inlineStr">
        <is>
          <t>Ahm</t>
        </is>
      </c>
      <c r="AA61" s="3" t="n">
        <v>2</v>
      </c>
      <c r="AB61" s="3" t="n">
        <v>0</v>
      </c>
      <c r="AC61" s="4" t="n">
        <v>46083</v>
      </c>
      <c r="AD61" s="3" t="n">
        <v>9</v>
      </c>
      <c r="AE61" s="3" t="inlineStr"/>
      <c r="AF61" s="3" t="inlineStr"/>
      <c r="AG61" s="3" t="inlineStr"/>
      <c r="AH61" s="3" t="inlineStr"/>
      <c r="AI61" s="3" t="inlineStr"/>
      <c r="AJ61" s="3" t="inlineStr"/>
      <c r="AK61" s="5" t="n">
        <v>27000</v>
      </c>
      <c r="AL61" s="5" t="n">
        <v>4860</v>
      </c>
      <c r="AM61" s="5" t="n">
        <v>31860</v>
      </c>
      <c r="AN61" s="3" t="inlineStr"/>
      <c r="AO61" s="5" t="n">
        <v>0</v>
      </c>
      <c r="AP61" s="5" t="n">
        <v>-31860</v>
      </c>
      <c r="AQ61" s="3" t="inlineStr"/>
    </row>
    <row r="62">
      <c r="A62" s="3" t="inlineStr">
        <is>
          <t>61</t>
        </is>
      </c>
      <c r="B62" s="3" t="inlineStr">
        <is>
          <t>NGS 260061</t>
        </is>
      </c>
      <c r="C62" s="4" t="n">
        <v>46074</v>
      </c>
      <c r="D62" s="3" t="inlineStr">
        <is>
          <t>February- 2026</t>
        </is>
      </c>
      <c r="E62" s="4" t="n">
        <v>46088</v>
      </c>
      <c r="F62" s="3" t="inlineStr">
        <is>
          <t>Sudharson Narayanan</t>
        </is>
      </c>
      <c r="G62" s="3" t="inlineStr">
        <is>
          <t>Symbiont Life Sciences</t>
        </is>
      </c>
      <c r="H62" s="3" t="inlineStr">
        <is>
          <t>Symbiont Life Sciences</t>
        </is>
      </c>
      <c r="I62" s="3" t="inlineStr">
        <is>
          <t>symbiontcs@gmail.com</t>
        </is>
      </c>
      <c r="J62" s="3" t="inlineStr">
        <is>
          <t>8838222756</t>
        </is>
      </c>
      <c r="K62" s="3" t="inlineStr">
        <is>
          <t>Mitochondrial Genome Sequencing &amp; Analysis On Illumina Platforms</t>
        </is>
      </c>
      <c r="L62" s="3" t="inlineStr">
        <is>
          <t>Tissue</t>
        </is>
      </c>
      <c r="M62" s="3" t="inlineStr">
        <is>
          <t>Mito Seq</t>
        </is>
      </c>
      <c r="N62" s="3" t="inlineStr">
        <is>
          <t>With Analysis</t>
        </is>
      </c>
      <c r="O62" s="3" t="n">
        <v>1</v>
      </c>
      <c r="P62" s="3" t="inlineStr">
        <is>
          <t>3 GB/sample</t>
        </is>
      </c>
      <c r="Q62" s="3" t="n">
        <v>3</v>
      </c>
      <c r="R62" s="3" t="n">
        <v>3</v>
      </c>
      <c r="S62" s="3" t="n">
        <v>15000</v>
      </c>
      <c r="T62" s="5" t="n">
        <v>15000</v>
      </c>
      <c r="U62" s="5" t="n">
        <v>2700</v>
      </c>
      <c r="V62" s="5" t="n">
        <v>17700</v>
      </c>
      <c r="W62" s="3" t="inlineStr">
        <is>
          <t>UG/NGS/TP/2309855</t>
        </is>
      </c>
      <c r="X62" s="3" t="inlineStr">
        <is>
          <t xml:space="preserve">South -2 </t>
        </is>
      </c>
      <c r="Y62" s="3" t="inlineStr">
        <is>
          <t>Tamil Nadu</t>
        </is>
      </c>
      <c r="Z62" s="3" t="inlineStr">
        <is>
          <t>Chennai</t>
        </is>
      </c>
      <c r="AA62" s="3" t="n">
        <v>0</v>
      </c>
      <c r="AB62" s="3" t="n">
        <v>1</v>
      </c>
      <c r="AC62" s="4" t="n">
        <v>46105</v>
      </c>
      <c r="AD62" s="3" t="n">
        <v>17</v>
      </c>
      <c r="AE62" s="3" t="inlineStr"/>
      <c r="AF62" s="3" t="inlineStr"/>
      <c r="AG62" s="3" t="inlineStr"/>
      <c r="AH62" s="3" t="inlineStr"/>
      <c r="AI62" s="3" t="inlineStr"/>
      <c r="AJ62" s="3" t="inlineStr">
        <is>
          <t>QC Fail</t>
        </is>
      </c>
      <c r="AK62" s="5" t="n">
        <v>0</v>
      </c>
      <c r="AL62" s="5" t="n">
        <v>0</v>
      </c>
      <c r="AM62" s="5" t="n">
        <v>0</v>
      </c>
      <c r="AN62" s="3" t="inlineStr"/>
      <c r="AO62" s="5" t="n">
        <v>0</v>
      </c>
      <c r="AP62" s="5" t="n">
        <v>0</v>
      </c>
      <c r="AQ62" s="3" t="inlineStr"/>
    </row>
    <row r="63">
      <c r="A63" s="3" t="inlineStr">
        <is>
          <t>62</t>
        </is>
      </c>
      <c r="B63" s="3" t="inlineStr">
        <is>
          <t>NGS 260062</t>
        </is>
      </c>
      <c r="C63" s="4" t="n">
        <v>46074</v>
      </c>
      <c r="D63" s="3" t="inlineStr">
        <is>
          <t>February- 2026</t>
        </is>
      </c>
      <c r="E63" s="4" t="n">
        <v>46076</v>
      </c>
      <c r="F63" s="3" t="inlineStr">
        <is>
          <t>Dr. Richa Rai</t>
        </is>
      </c>
      <c r="G63" s="3" t="inlineStr">
        <is>
          <t>Nbri</t>
        </is>
      </c>
      <c r="H63" s="3" t="inlineStr">
        <is>
          <t>Future Biotech</t>
        </is>
      </c>
      <c r="I63" s="3" t="inlineStr">
        <is>
          <t>richa.rai@nbri.res.in</t>
        </is>
      </c>
      <c r="J63" s="3" t="inlineStr">
        <is>
          <t>8299820549</t>
        </is>
      </c>
      <c r="K63" s="3" t="inlineStr">
        <is>
          <t>Transcriptome Sequencing &amp; Analysis On Illumina Novaseq X Plus Platform</t>
        </is>
      </c>
      <c r="L63" s="3" t="inlineStr">
        <is>
          <t>Plant In RNA Late</t>
        </is>
      </c>
      <c r="M63" s="3" t="inlineStr">
        <is>
          <t>Wts Seq</t>
        </is>
      </c>
      <c r="N63" s="3" t="inlineStr">
        <is>
          <t>With Analysis</t>
        </is>
      </c>
      <c r="O63" s="3" t="n">
        <v>5</v>
      </c>
      <c r="P63" s="3" t="inlineStr">
        <is>
          <t>7-8 GB/Sample</t>
        </is>
      </c>
      <c r="Q63" s="3" t="n">
        <v>8</v>
      </c>
      <c r="R63" s="3" t="n">
        <v>40</v>
      </c>
      <c r="S63" s="3" t="n">
        <v>13000</v>
      </c>
      <c r="T63" s="5" t="n">
        <v>65000</v>
      </c>
      <c r="U63" s="5" t="n">
        <v>11700</v>
      </c>
      <c r="V63" s="5" t="n">
        <v>76700</v>
      </c>
      <c r="W63" s="3" t="inlineStr">
        <is>
          <t>UG/NGS/TP/2602547</t>
        </is>
      </c>
      <c r="X63" s="3" t="inlineStr">
        <is>
          <t>Ravi singh</t>
        </is>
      </c>
      <c r="Y63" s="3" t="inlineStr">
        <is>
          <t>Up</t>
        </is>
      </c>
      <c r="Z63" s="3" t="inlineStr">
        <is>
          <t>Lucknow</t>
        </is>
      </c>
      <c r="AA63" s="3" t="n">
        <v>5</v>
      </c>
      <c r="AB63" s="3" t="n">
        <v>0</v>
      </c>
      <c r="AC63" s="4" t="n">
        <v>46083</v>
      </c>
      <c r="AD63" s="3" t="n">
        <v>7</v>
      </c>
      <c r="AE63" s="3" t="inlineStr">
        <is>
          <t>108</t>
        </is>
      </c>
      <c r="AF63" s="4" t="n">
        <v>46098</v>
      </c>
      <c r="AG63" s="4" t="n">
        <v>46125</v>
      </c>
      <c r="AH63" s="3" t="inlineStr">
        <is>
          <t>UPL/GEN/410/2526</t>
        </is>
      </c>
      <c r="AI63" s="4" t="n">
        <v>46109</v>
      </c>
      <c r="AJ63" s="3" t="inlineStr">
        <is>
          <t xml:space="preserve"> Project Closure</t>
        </is>
      </c>
      <c r="AK63" s="5" t="n">
        <v>65000</v>
      </c>
      <c r="AL63" s="5" t="n">
        <v>11700</v>
      </c>
      <c r="AM63" s="5" t="n">
        <v>76700</v>
      </c>
      <c r="AN63" s="3" t="n">
        <v>110</v>
      </c>
      <c r="AO63" s="5" t="n">
        <v>76700</v>
      </c>
      <c r="AP63" s="5" t="n">
        <v>0</v>
      </c>
      <c r="AQ63" s="3" t="inlineStr"/>
    </row>
    <row r="64">
      <c r="A64" s="3" t="inlineStr">
        <is>
          <t>63</t>
        </is>
      </c>
      <c r="B64" s="3" t="inlineStr">
        <is>
          <t>NGS 260063</t>
        </is>
      </c>
      <c r="C64" s="4" t="n">
        <v>46074</v>
      </c>
      <c r="D64" s="3" t="inlineStr">
        <is>
          <t>February- 2026</t>
        </is>
      </c>
      <c r="E64" s="4" t="n">
        <v>46077</v>
      </c>
      <c r="F64" s="3" t="inlineStr">
        <is>
          <t>Dr.Prashant Tembhare</t>
        </is>
      </c>
      <c r="G64" s="3" t="inlineStr">
        <is>
          <t>Tmc-Actrec</t>
        </is>
      </c>
      <c r="H64" s="3" t="inlineStr">
        <is>
          <t>Tmc-Actrec</t>
        </is>
      </c>
      <c r="I64" s="3" t="inlineStr">
        <is>
          <t xml:space="preserve">docprt@gmail.com </t>
        </is>
      </c>
      <c r="J64" s="3" t="inlineStr"/>
      <c r="K64" s="3" t="inlineStr">
        <is>
          <t>Whole Transcriptome Sequencing &amp; Analysis On Illumina Platforms</t>
        </is>
      </c>
      <c r="L64" s="3" t="inlineStr">
        <is>
          <t>RNA</t>
        </is>
      </c>
      <c r="M64" s="3" t="inlineStr">
        <is>
          <t>Wts Seq</t>
        </is>
      </c>
      <c r="N64" s="3" t="inlineStr">
        <is>
          <t>With Analysis</t>
        </is>
      </c>
      <c r="O64" s="3" t="n">
        <v>7</v>
      </c>
      <c r="P64" s="3" t="inlineStr">
        <is>
          <t>8-10 GB /sample</t>
        </is>
      </c>
      <c r="Q64" s="3" t="n">
        <v>10</v>
      </c>
      <c r="R64" s="3" t="n">
        <v>70</v>
      </c>
      <c r="S64" s="3" t="n">
        <v>16950</v>
      </c>
      <c r="T64" s="5" t="n">
        <v>118650</v>
      </c>
      <c r="U64" s="5" t="n">
        <v>21357</v>
      </c>
      <c r="V64" s="5" t="n">
        <v>140007</v>
      </c>
      <c r="W64" s="3" t="inlineStr">
        <is>
          <t>UG/NGS/TP/2501410</t>
        </is>
      </c>
      <c r="X64" s="3" t="inlineStr">
        <is>
          <t>Direct</t>
        </is>
      </c>
      <c r="Y64" s="3" t="inlineStr">
        <is>
          <t>Maharashtra</t>
        </is>
      </c>
      <c r="Z64" s="3" t="inlineStr">
        <is>
          <t>Navi Mumbai</t>
        </is>
      </c>
      <c r="AA64" s="3" t="n">
        <v>7</v>
      </c>
      <c r="AB64" s="3" t="n">
        <v>0</v>
      </c>
      <c r="AC64" s="4" t="n">
        <v>46077</v>
      </c>
      <c r="AD64" s="3" t="n">
        <v>0</v>
      </c>
      <c r="AE64" s="3" t="inlineStr">
        <is>
          <t>109</t>
        </is>
      </c>
      <c r="AF64" s="3" t="inlineStr"/>
      <c r="AG64" s="3" t="inlineStr"/>
      <c r="AH64" s="3" t="inlineStr"/>
      <c r="AI64" s="3" t="inlineStr"/>
      <c r="AJ64" s="3" t="inlineStr"/>
      <c r="AK64" s="5" t="n">
        <v>118650</v>
      </c>
      <c r="AL64" s="5" t="n">
        <v>21357</v>
      </c>
      <c r="AM64" s="5" t="n">
        <v>140007</v>
      </c>
      <c r="AN64" s="3" t="inlineStr"/>
      <c r="AO64" s="5" t="n">
        <v>0</v>
      </c>
      <c r="AP64" s="5" t="n">
        <v>-140007</v>
      </c>
      <c r="AQ64" s="3" t="inlineStr"/>
    </row>
    <row r="65">
      <c r="A65" s="3" t="inlineStr">
        <is>
          <t>64</t>
        </is>
      </c>
      <c r="B65" s="3" t="inlineStr">
        <is>
          <t>NGS 260064</t>
        </is>
      </c>
      <c r="C65" s="4" t="n">
        <v>46076</v>
      </c>
      <c r="D65" s="3" t="inlineStr">
        <is>
          <t>February- 2026</t>
        </is>
      </c>
      <c r="E65" s="4" t="n">
        <v>46077</v>
      </c>
      <c r="F65" s="3" t="inlineStr">
        <is>
          <t>Sudharson Narayanan</t>
        </is>
      </c>
      <c r="G65" s="3" t="inlineStr">
        <is>
          <t>Symbiont Life Sciences</t>
        </is>
      </c>
      <c r="H65" s="3" t="inlineStr">
        <is>
          <t>Symbiont Life Sciences</t>
        </is>
      </c>
      <c r="I65" s="3" t="inlineStr">
        <is>
          <t>symbiontcs@gmail.com</t>
        </is>
      </c>
      <c r="J65" s="3" t="inlineStr">
        <is>
          <t>8838222756</t>
        </is>
      </c>
      <c r="K65" s="3" t="inlineStr">
        <is>
          <t>Transcriptome Sequencing On Illumina Novaseq X Plus Platform</t>
        </is>
      </c>
      <c r="L65" s="3" t="inlineStr">
        <is>
          <t>RNA</t>
        </is>
      </c>
      <c r="M65" s="3" t="inlineStr">
        <is>
          <t>Wts Seq</t>
        </is>
      </c>
      <c r="N65" s="3" t="inlineStr">
        <is>
          <t>Without Analysis</t>
        </is>
      </c>
      <c r="O65" s="3" t="n">
        <v>4</v>
      </c>
      <c r="P65" s="3" t="inlineStr">
        <is>
          <t>8-9 GB /sample</t>
        </is>
      </c>
      <c r="Q65" s="3" t="n">
        <v>9</v>
      </c>
      <c r="R65" s="3" t="n">
        <v>36</v>
      </c>
      <c r="S65" s="3" t="n">
        <v>13000</v>
      </c>
      <c r="T65" s="5" t="n">
        <v>52000</v>
      </c>
      <c r="U65" s="5" t="n">
        <v>9360</v>
      </c>
      <c r="V65" s="5" t="n">
        <v>61360</v>
      </c>
      <c r="W65" s="3" t="inlineStr">
        <is>
          <t>UG/NGS/TP/2409987R2</t>
        </is>
      </c>
      <c r="X65" s="3" t="inlineStr">
        <is>
          <t xml:space="preserve">South -2 </t>
        </is>
      </c>
      <c r="Y65" s="3" t="inlineStr">
        <is>
          <t>Tamil Nadu</t>
        </is>
      </c>
      <c r="Z65" s="3" t="inlineStr">
        <is>
          <t>Chennai</t>
        </is>
      </c>
      <c r="AA65" s="3" t="n">
        <v>0</v>
      </c>
      <c r="AB65" s="3" t="n">
        <v>4</v>
      </c>
      <c r="AC65" s="4" t="n">
        <v>46084</v>
      </c>
      <c r="AD65" s="3" t="n">
        <v>7</v>
      </c>
      <c r="AE65" s="3" t="inlineStr"/>
      <c r="AF65" s="3" t="inlineStr"/>
      <c r="AG65" s="3" t="inlineStr"/>
      <c r="AH65" s="3" t="inlineStr"/>
      <c r="AI65" s="3" t="inlineStr"/>
      <c r="AJ65" s="3" t="inlineStr">
        <is>
          <t>QC Fail</t>
        </is>
      </c>
      <c r="AK65" s="5" t="n">
        <v>0</v>
      </c>
      <c r="AL65" s="5" t="n">
        <v>0</v>
      </c>
      <c r="AM65" s="5" t="n">
        <v>0</v>
      </c>
      <c r="AN65" s="3" t="inlineStr"/>
      <c r="AO65" s="5" t="n">
        <v>0</v>
      </c>
      <c r="AP65" s="5" t="n">
        <v>0</v>
      </c>
      <c r="AQ65" s="3" t="inlineStr"/>
    </row>
    <row r="66">
      <c r="A66" s="3" t="inlineStr">
        <is>
          <t>65</t>
        </is>
      </c>
      <c r="B66" s="3" t="inlineStr">
        <is>
          <t>NGS 260065</t>
        </is>
      </c>
      <c r="C66" s="4" t="n">
        <v>46076</v>
      </c>
      <c r="D66" s="3" t="inlineStr">
        <is>
          <t>February- 2026</t>
        </is>
      </c>
      <c r="E66" s="4" t="n">
        <v>46087</v>
      </c>
      <c r="F66" s="3" t="inlineStr">
        <is>
          <t>Sudharson Narayanan</t>
        </is>
      </c>
      <c r="G66" s="3" t="inlineStr">
        <is>
          <t>Symbiont Life Sciences</t>
        </is>
      </c>
      <c r="H66" s="3" t="inlineStr">
        <is>
          <t>Symbiont Life Sciences</t>
        </is>
      </c>
      <c r="I66" s="3" t="inlineStr">
        <is>
          <t>symbiontcs@gmail.com</t>
        </is>
      </c>
      <c r="J66" s="3" t="inlineStr">
        <is>
          <t>8838222756</t>
        </is>
      </c>
      <c r="K66" s="3" t="inlineStr">
        <is>
          <t>Transcriptome Sequencing On Illumina Novaseq X Plus Platform</t>
        </is>
      </c>
      <c r="L66" s="3" t="inlineStr">
        <is>
          <t>Trizol</t>
        </is>
      </c>
      <c r="M66" s="3" t="inlineStr">
        <is>
          <t>Wts Seq</t>
        </is>
      </c>
      <c r="N66" s="3" t="inlineStr">
        <is>
          <t>With Analysis</t>
        </is>
      </c>
      <c r="O66" s="3" t="n">
        <v>6</v>
      </c>
      <c r="P66" s="3" t="inlineStr">
        <is>
          <t>8-9 GB /sample</t>
        </is>
      </c>
      <c r="Q66" s="3" t="n">
        <v>9</v>
      </c>
      <c r="R66" s="3" t="n">
        <v>54</v>
      </c>
      <c r="S66" s="3" t="n">
        <v>13000</v>
      </c>
      <c r="T66" s="5" t="n">
        <v>78000</v>
      </c>
      <c r="U66" s="5" t="n">
        <v>14040</v>
      </c>
      <c r="V66" s="5" t="n">
        <v>92040</v>
      </c>
      <c r="W66" s="3" t="inlineStr">
        <is>
          <t>UG/NGS/TP/2409987R2</t>
        </is>
      </c>
      <c r="X66" s="3" t="inlineStr">
        <is>
          <t xml:space="preserve">South -2 </t>
        </is>
      </c>
      <c r="Y66" s="3" t="inlineStr">
        <is>
          <t>Tamil Nadu</t>
        </is>
      </c>
      <c r="Z66" s="3" t="inlineStr">
        <is>
          <t>Chennai</t>
        </is>
      </c>
      <c r="AA66" s="3" t="n">
        <v>0</v>
      </c>
      <c r="AB66" s="3" t="n">
        <v>6</v>
      </c>
      <c r="AC66" s="4" t="n">
        <v>46090</v>
      </c>
      <c r="AD66" s="3" t="n">
        <v>3</v>
      </c>
      <c r="AE66" s="3" t="inlineStr"/>
      <c r="AF66" s="3" t="inlineStr"/>
      <c r="AG66" s="3" t="inlineStr"/>
      <c r="AH66" s="3" t="inlineStr"/>
      <c r="AI66" s="3" t="inlineStr"/>
      <c r="AJ66" s="3" t="inlineStr">
        <is>
          <t>QC Fail</t>
        </is>
      </c>
      <c r="AK66" s="5" t="n">
        <v>0</v>
      </c>
      <c r="AL66" s="5" t="n">
        <v>0</v>
      </c>
      <c r="AM66" s="5" t="n">
        <v>0</v>
      </c>
      <c r="AN66" s="3" t="inlineStr"/>
      <c r="AO66" s="5" t="n">
        <v>0</v>
      </c>
      <c r="AP66" s="5" t="n">
        <v>0</v>
      </c>
      <c r="AQ66" s="3" t="inlineStr"/>
    </row>
    <row r="67">
      <c r="A67" s="3" t="inlineStr">
        <is>
          <t>66</t>
        </is>
      </c>
      <c r="B67" s="3" t="inlineStr">
        <is>
          <t>NGS 260066</t>
        </is>
      </c>
      <c r="C67" s="4" t="n">
        <v>46076</v>
      </c>
      <c r="D67" s="3" t="inlineStr">
        <is>
          <t>February- 2026</t>
        </is>
      </c>
      <c r="E67" s="4" t="n">
        <v>46077</v>
      </c>
      <c r="F67" s="3" t="inlineStr">
        <is>
          <t>Sudharson Narayanan</t>
        </is>
      </c>
      <c r="G67" s="3" t="inlineStr">
        <is>
          <t>Symbiont Life Sciences</t>
        </is>
      </c>
      <c r="H67" s="3" t="inlineStr">
        <is>
          <t>Symbiont Life Sciences</t>
        </is>
      </c>
      <c r="I67" s="3" t="inlineStr">
        <is>
          <t>symbiontcs@gmail.com</t>
        </is>
      </c>
      <c r="J67" s="3" t="inlineStr">
        <is>
          <t>8838222756</t>
        </is>
      </c>
      <c r="K67" s="3" t="inlineStr">
        <is>
          <t>Bacterial Whole Genome Sequencing On Illumina Novaseq X Plus Platform</t>
        </is>
      </c>
      <c r="L67" s="3" t="inlineStr">
        <is>
          <t>Heat Killed Bacteria</t>
        </is>
      </c>
      <c r="M67" s="3" t="inlineStr">
        <is>
          <t>Bacterial Wgs</t>
        </is>
      </c>
      <c r="N67" s="3" t="inlineStr">
        <is>
          <t>Without Analysis</t>
        </is>
      </c>
      <c r="O67" s="3" t="n">
        <v>2</v>
      </c>
      <c r="P67" s="3" t="inlineStr">
        <is>
          <t>3 GB/Sample</t>
        </is>
      </c>
      <c r="Q67" s="3" t="n">
        <v>3</v>
      </c>
      <c r="R67" s="3" t="n">
        <v>6</v>
      </c>
      <c r="S67" s="3" t="n">
        <v>9000</v>
      </c>
      <c r="T67" s="5" t="n">
        <v>18000</v>
      </c>
      <c r="U67" s="5" t="n">
        <v>3240</v>
      </c>
      <c r="V67" s="5" t="n">
        <v>21240</v>
      </c>
      <c r="W67" s="3" t="inlineStr">
        <is>
          <t>UG/NGS/TP/2501392R1</t>
        </is>
      </c>
      <c r="X67" s="3" t="inlineStr">
        <is>
          <t xml:space="preserve">South -2 </t>
        </is>
      </c>
      <c r="Y67" s="3" t="inlineStr">
        <is>
          <t>Tamil Nadu</t>
        </is>
      </c>
      <c r="Z67" s="3" t="inlineStr">
        <is>
          <t>Chennai</t>
        </is>
      </c>
      <c r="AA67" s="3" t="n">
        <v>0</v>
      </c>
      <c r="AB67" s="3" t="n">
        <v>2</v>
      </c>
      <c r="AC67" s="4" t="n">
        <v>46093</v>
      </c>
      <c r="AD67" s="3" t="n">
        <v>16</v>
      </c>
      <c r="AE67" s="3" t="inlineStr"/>
      <c r="AF67" s="3" t="inlineStr"/>
      <c r="AG67" s="3" t="inlineStr"/>
      <c r="AH67" s="3" t="inlineStr"/>
      <c r="AI67" s="3" t="inlineStr"/>
      <c r="AJ67" s="3" t="inlineStr">
        <is>
          <t>QC Fail</t>
        </is>
      </c>
      <c r="AK67" s="5" t="n">
        <v>0</v>
      </c>
      <c r="AL67" s="5" t="n">
        <v>0</v>
      </c>
      <c r="AM67" s="5" t="n">
        <v>0</v>
      </c>
      <c r="AN67" s="3" t="inlineStr"/>
      <c r="AO67" s="5" t="n">
        <v>0</v>
      </c>
      <c r="AP67" s="5" t="n">
        <v>0</v>
      </c>
      <c r="AQ67" s="3" t="inlineStr"/>
    </row>
    <row r="68">
      <c r="A68" s="3" t="inlineStr">
        <is>
          <t>67</t>
        </is>
      </c>
      <c r="B68" s="3" t="inlineStr">
        <is>
          <t>NGS 260067</t>
        </is>
      </c>
      <c r="C68" s="4" t="n">
        <v>46076</v>
      </c>
      <c r="D68" s="3" t="inlineStr">
        <is>
          <t>February- 2026</t>
        </is>
      </c>
      <c r="E68" s="4" t="n">
        <v>46079</v>
      </c>
      <c r="F68" s="3" t="inlineStr">
        <is>
          <t>Mr Rohit</t>
        </is>
      </c>
      <c r="G68" s="3" t="inlineStr">
        <is>
          <t>Gene Bio Solution</t>
        </is>
      </c>
      <c r="H68" s="3" t="inlineStr">
        <is>
          <t>Gene Bio Solution</t>
        </is>
      </c>
      <c r="I68" s="3" t="inlineStr">
        <is>
          <t>infogenebio@gmail.com</t>
        </is>
      </c>
      <c r="J68" s="3" t="inlineStr"/>
      <c r="K68" s="3" t="inlineStr">
        <is>
          <t>Whole Genome Sequencing &amp; Analysis Of Illumina Novaseq X Plus Platform</t>
        </is>
      </c>
      <c r="L68" s="3" t="inlineStr">
        <is>
          <t>Leaf</t>
        </is>
      </c>
      <c r="M68" s="3" t="inlineStr">
        <is>
          <t>Wgs Seq</t>
        </is>
      </c>
      <c r="N68" s="3" t="inlineStr">
        <is>
          <t>With Analysis</t>
        </is>
      </c>
      <c r="O68" s="3" t="n">
        <v>1</v>
      </c>
      <c r="P68" s="3" t="inlineStr">
        <is>
          <t>10 GB /Sample</t>
        </is>
      </c>
      <c r="Q68" s="3" t="n">
        <v>10</v>
      </c>
      <c r="R68" s="3" t="n">
        <v>10</v>
      </c>
      <c r="S68" s="3" t="n">
        <v>16000</v>
      </c>
      <c r="T68" s="5" t="n">
        <v>16000</v>
      </c>
      <c r="U68" s="5" t="n">
        <v>2880</v>
      </c>
      <c r="V68" s="5" t="n">
        <v>18880</v>
      </c>
      <c r="W68" s="3" t="inlineStr">
        <is>
          <t>UG/NGS/TP/2602545</t>
        </is>
      </c>
      <c r="X68" s="3" t="inlineStr">
        <is>
          <t>Direct</t>
        </is>
      </c>
      <c r="Y68" s="3" t="inlineStr">
        <is>
          <t>Uttarakhand</t>
        </is>
      </c>
      <c r="Z68" s="3" t="inlineStr">
        <is>
          <t>Dehradun</t>
        </is>
      </c>
      <c r="AA68" s="3" t="n">
        <v>1</v>
      </c>
      <c r="AB68" s="3" t="n">
        <v>0</v>
      </c>
      <c r="AC68" s="4" t="n">
        <v>46084</v>
      </c>
      <c r="AD68" s="3" t="n">
        <v>5</v>
      </c>
      <c r="AE68" s="3" t="inlineStr">
        <is>
          <t>108</t>
        </is>
      </c>
      <c r="AF68" s="3" t="inlineStr"/>
      <c r="AG68" s="4" t="n">
        <v>46198</v>
      </c>
      <c r="AH68" s="3" t="inlineStr"/>
      <c r="AI68" s="3" t="inlineStr"/>
      <c r="AJ68" s="3" t="inlineStr">
        <is>
          <t xml:space="preserve"> Project Closure</t>
        </is>
      </c>
      <c r="AK68" s="5" t="n">
        <v>16000</v>
      </c>
      <c r="AL68" s="5" t="n">
        <v>2880</v>
      </c>
      <c r="AM68" s="5" t="n">
        <v>18880</v>
      </c>
      <c r="AN68" s="3" t="n">
        <v>46219</v>
      </c>
      <c r="AO68" s="5" t="n">
        <v>0</v>
      </c>
      <c r="AP68" s="5" t="n">
        <v>-18880</v>
      </c>
      <c r="AQ68" s="3" t="inlineStr"/>
    </row>
    <row r="69">
      <c r="A69" s="3" t="inlineStr">
        <is>
          <t>68</t>
        </is>
      </c>
      <c r="B69" s="3" t="inlineStr">
        <is>
          <t>NGS 260068</t>
        </is>
      </c>
      <c r="C69" s="4" t="n">
        <v>46076</v>
      </c>
      <c r="D69" s="3" t="inlineStr">
        <is>
          <t>February- 2026</t>
        </is>
      </c>
      <c r="E69" s="4" t="n">
        <v>46079</v>
      </c>
      <c r="F69" s="3" t="inlineStr">
        <is>
          <t>Mr Rohit</t>
        </is>
      </c>
      <c r="G69" s="3" t="inlineStr">
        <is>
          <t>Gene Bio Solution</t>
        </is>
      </c>
      <c r="H69" s="3" t="inlineStr">
        <is>
          <t>Gene Bio Solution</t>
        </is>
      </c>
      <c r="I69" s="3" t="inlineStr">
        <is>
          <t>infogenebio@gmail.com</t>
        </is>
      </c>
      <c r="J69" s="3" t="inlineStr"/>
      <c r="K69" s="3" t="inlineStr">
        <is>
          <t>Whole Genome Sequencing &amp; Analysis Of Illumina Novaseq X Plus Platform</t>
        </is>
      </c>
      <c r="L69" s="3" t="inlineStr">
        <is>
          <t>Blood</t>
        </is>
      </c>
      <c r="M69" s="3" t="inlineStr">
        <is>
          <t>Wgs Seq</t>
        </is>
      </c>
      <c r="N69" s="3" t="inlineStr">
        <is>
          <t>With Analysis</t>
        </is>
      </c>
      <c r="O69" s="3" t="n">
        <v>7</v>
      </c>
      <c r="P69" s="3" t="inlineStr">
        <is>
          <t>10 GB /Sample</t>
        </is>
      </c>
      <c r="Q69" s="3" t="n">
        <v>10</v>
      </c>
      <c r="R69" s="3" t="n">
        <v>70</v>
      </c>
      <c r="S69" s="3" t="n">
        <v>16000</v>
      </c>
      <c r="T69" s="5" t="n">
        <v>112000</v>
      </c>
      <c r="U69" s="5" t="n">
        <v>20160</v>
      </c>
      <c r="V69" s="5" t="n">
        <v>132160</v>
      </c>
      <c r="W69" s="3" t="inlineStr">
        <is>
          <t>UG/NGS/TP/2602545</t>
        </is>
      </c>
      <c r="X69" s="3" t="inlineStr">
        <is>
          <t>Direct</t>
        </is>
      </c>
      <c r="Y69" s="3" t="inlineStr">
        <is>
          <t>Uttarakhand</t>
        </is>
      </c>
      <c r="Z69" s="3" t="inlineStr">
        <is>
          <t>Dehradun</t>
        </is>
      </c>
      <c r="AA69" s="3" t="n">
        <v>7</v>
      </c>
      <c r="AB69" s="3" t="n">
        <v>0</v>
      </c>
      <c r="AC69" s="4" t="n">
        <v>46084</v>
      </c>
      <c r="AD69" s="3" t="n">
        <v>5</v>
      </c>
      <c r="AE69" s="3" t="inlineStr">
        <is>
          <t>130 &amp; 129</t>
        </is>
      </c>
      <c r="AF69" s="3" t="inlineStr"/>
      <c r="AG69" s="3" t="inlineStr"/>
      <c r="AH69" s="3" t="inlineStr"/>
      <c r="AI69" s="3" t="inlineStr"/>
      <c r="AJ69" s="3" t="inlineStr"/>
      <c r="AK69" s="5" t="n">
        <v>112000</v>
      </c>
      <c r="AL69" s="5" t="n">
        <v>20160</v>
      </c>
      <c r="AM69" s="5" t="n">
        <v>132160</v>
      </c>
      <c r="AN69" s="3" t="inlineStr"/>
      <c r="AO69" s="5" t="n">
        <v>0</v>
      </c>
      <c r="AP69" s="5" t="n">
        <v>-132160</v>
      </c>
      <c r="AQ69" s="3" t="inlineStr"/>
    </row>
    <row r="70">
      <c r="A70" s="3" t="inlineStr">
        <is>
          <t>69</t>
        </is>
      </c>
      <c r="B70" s="3" t="inlineStr">
        <is>
          <t>NGS 260069</t>
        </is>
      </c>
      <c r="C70" s="4" t="n">
        <v>46076</v>
      </c>
      <c r="D70" s="3" t="inlineStr">
        <is>
          <t>February- 2026</t>
        </is>
      </c>
      <c r="E70" s="4" t="n">
        <v>46083</v>
      </c>
      <c r="F70" s="3" t="inlineStr">
        <is>
          <t>Dr. Jyoti Vakhlu</t>
        </is>
      </c>
      <c r="G70" s="3" t="inlineStr">
        <is>
          <t>University Of Jammu</t>
        </is>
      </c>
      <c r="H70" s="3" t="inlineStr">
        <is>
          <t>Labdose</t>
        </is>
      </c>
      <c r="I70" s="3" t="inlineStr"/>
      <c r="J70" s="3" t="inlineStr"/>
      <c r="K70" s="3" t="inlineStr">
        <is>
          <t>16S V3-V4 Metagenome Sequencing &amp; Analysis On Illumina Platform</t>
        </is>
      </c>
      <c r="L70" s="3" t="inlineStr">
        <is>
          <t>DNA</t>
        </is>
      </c>
      <c r="M70" s="3" t="inlineStr">
        <is>
          <t>16S V3-V4</t>
        </is>
      </c>
      <c r="N70" s="3" t="inlineStr">
        <is>
          <t>With Analysis</t>
        </is>
      </c>
      <c r="O70" s="3" t="n">
        <v>30</v>
      </c>
      <c r="P70" s="3" t="inlineStr">
        <is>
          <t>60,000-1,00,000 reads/sample</t>
        </is>
      </c>
      <c r="Q70" s="3" t="inlineStr"/>
      <c r="R70" s="3" t="n">
        <v>0</v>
      </c>
      <c r="S70" s="3" t="n">
        <v>6300</v>
      </c>
      <c r="T70" s="5" t="n">
        <v>189000</v>
      </c>
      <c r="U70" s="5" t="n">
        <v>34020</v>
      </c>
      <c r="V70" s="5" t="n">
        <v>223020</v>
      </c>
      <c r="W70" s="3" t="inlineStr">
        <is>
          <t>UG/NGS/TP/2602542</t>
        </is>
      </c>
      <c r="X70" s="3" t="inlineStr">
        <is>
          <t xml:space="preserve">Harsh </t>
        </is>
      </c>
      <c r="Y70" s="3" t="inlineStr">
        <is>
          <t>J&amp;K</t>
        </is>
      </c>
      <c r="Z70" s="3" t="inlineStr">
        <is>
          <t>N/A</t>
        </is>
      </c>
      <c r="AA70" s="3" t="n">
        <v>30</v>
      </c>
      <c r="AB70" s="3" t="n">
        <v>0</v>
      </c>
      <c r="AC70" s="4" t="n">
        <v>46084</v>
      </c>
      <c r="AD70" s="3" t="n">
        <v>1</v>
      </c>
      <c r="AE70" s="3" t="inlineStr">
        <is>
          <t>16s outsource batch 33</t>
        </is>
      </c>
      <c r="AF70" s="4" t="n">
        <v>46114</v>
      </c>
      <c r="AG70" s="4" t="n">
        <v>46120</v>
      </c>
      <c r="AH70" s="3" t="inlineStr">
        <is>
          <t>UPL/GEN/2627/52</t>
        </is>
      </c>
      <c r="AI70" s="4" t="n">
        <v>46185</v>
      </c>
      <c r="AJ70" s="3" t="inlineStr">
        <is>
          <t xml:space="preserve"> Project Closure</t>
        </is>
      </c>
      <c r="AK70" s="5" t="n">
        <v>189000</v>
      </c>
      <c r="AL70" s="5" t="n">
        <v>34020</v>
      </c>
      <c r="AM70" s="5" t="n">
        <v>223020</v>
      </c>
      <c r="AN70" s="3" t="n">
        <v>34</v>
      </c>
      <c r="AO70" s="5" t="n">
        <v>223020</v>
      </c>
      <c r="AP70" s="5" t="n">
        <v>0</v>
      </c>
      <c r="AQ70" s="3" t="inlineStr"/>
    </row>
    <row r="71">
      <c r="A71" s="3" t="inlineStr">
        <is>
          <t>70</t>
        </is>
      </c>
      <c r="B71" s="3" t="inlineStr">
        <is>
          <t>NGS 260070</t>
        </is>
      </c>
      <c r="C71" s="4" t="n">
        <v>46078</v>
      </c>
      <c r="D71" s="3" t="inlineStr">
        <is>
          <t>February- 2026</t>
        </is>
      </c>
      <c r="E71" s="4" t="n">
        <v>46083</v>
      </c>
      <c r="F71" s="3" t="inlineStr">
        <is>
          <t>Dr. Jyoti Vakhlu</t>
        </is>
      </c>
      <c r="G71" s="3" t="inlineStr">
        <is>
          <t>University Of Jammu</t>
        </is>
      </c>
      <c r="H71" s="3" t="inlineStr">
        <is>
          <t>Labdose</t>
        </is>
      </c>
      <c r="I71" s="3" t="inlineStr"/>
      <c r="J71" s="3" t="inlineStr"/>
      <c r="K71" s="3" t="inlineStr">
        <is>
          <t>16S V3-V4 Metagenome Sequencing &amp; Analysis On Illumina Platform</t>
        </is>
      </c>
      <c r="L71" s="3" t="inlineStr">
        <is>
          <t>DNA</t>
        </is>
      </c>
      <c r="M71" s="3" t="inlineStr">
        <is>
          <t>16S V3-V4</t>
        </is>
      </c>
      <c r="N71" s="3" t="inlineStr">
        <is>
          <t>With Analysis</t>
        </is>
      </c>
      <c r="O71" s="3" t="n">
        <v>3</v>
      </c>
      <c r="P71" s="3" t="inlineStr">
        <is>
          <t>1,00,000-1,50,000 reads/sample</t>
        </is>
      </c>
      <c r="Q71" s="3" t="inlineStr"/>
      <c r="R71" s="3" t="n">
        <v>0</v>
      </c>
      <c r="S71" s="3" t="n">
        <v>6300</v>
      </c>
      <c r="T71" s="5" t="n">
        <v>18900</v>
      </c>
      <c r="U71" s="5" t="n">
        <v>3402</v>
      </c>
      <c r="V71" s="5" t="n">
        <v>22302</v>
      </c>
      <c r="W71" s="3" t="inlineStr">
        <is>
          <t>UG/NGS/TP/2602556</t>
        </is>
      </c>
      <c r="X71" s="3" t="inlineStr">
        <is>
          <t>Direct</t>
        </is>
      </c>
      <c r="Y71" s="3" t="inlineStr">
        <is>
          <t>J&amp;K</t>
        </is>
      </c>
      <c r="Z71" s="3" t="inlineStr">
        <is>
          <t>N/A</t>
        </is>
      </c>
      <c r="AA71" s="3" t="n">
        <v>3</v>
      </c>
      <c r="AB71" s="3" t="n">
        <v>0</v>
      </c>
      <c r="AC71" s="4" t="n">
        <v>46084</v>
      </c>
      <c r="AD71" s="3" t="n">
        <v>1</v>
      </c>
      <c r="AE71" s="3" t="inlineStr">
        <is>
          <t>16s outsource batch 33</t>
        </is>
      </c>
      <c r="AF71" s="4" t="n">
        <v>46114</v>
      </c>
      <c r="AG71" s="4" t="n">
        <v>46120</v>
      </c>
      <c r="AH71" s="3" t="inlineStr">
        <is>
          <t>UPL/GEN/2627/52</t>
        </is>
      </c>
      <c r="AI71" s="4" t="n">
        <v>46185</v>
      </c>
      <c r="AJ71" s="3" t="inlineStr">
        <is>
          <t xml:space="preserve"> Project Closure</t>
        </is>
      </c>
      <c r="AK71" s="5" t="n">
        <v>18900</v>
      </c>
      <c r="AL71" s="5" t="n">
        <v>3402</v>
      </c>
      <c r="AM71" s="5" t="n">
        <v>22302</v>
      </c>
      <c r="AN71" s="3" t="n">
        <v>34</v>
      </c>
      <c r="AO71" s="5" t="n">
        <v>22302</v>
      </c>
      <c r="AP71" s="5" t="n">
        <v>0</v>
      </c>
      <c r="AQ71" s="3" t="inlineStr"/>
    </row>
    <row r="72">
      <c r="A72" s="3" t="inlineStr">
        <is>
          <t>71</t>
        </is>
      </c>
      <c r="B72" s="3" t="inlineStr">
        <is>
          <t>Re-NGS 260071</t>
        </is>
      </c>
      <c r="C72" s="4" t="n">
        <v>46078</v>
      </c>
      <c r="D72" s="3" t="inlineStr">
        <is>
          <t>February- 2026</t>
        </is>
      </c>
      <c r="E72" s="4" t="n">
        <v>46087</v>
      </c>
      <c r="F72" s="3" t="inlineStr">
        <is>
          <t>Sudharson Narayanan</t>
        </is>
      </c>
      <c r="G72" s="3" t="inlineStr">
        <is>
          <t>Symbiont Life Sciences</t>
        </is>
      </c>
      <c r="H72" s="3" t="inlineStr">
        <is>
          <t>Symbiont Life Sciences</t>
        </is>
      </c>
      <c r="I72" s="3" t="inlineStr">
        <is>
          <t>symbiontcs@gmail.com</t>
        </is>
      </c>
      <c r="J72" s="3" t="inlineStr">
        <is>
          <t>8838222756</t>
        </is>
      </c>
      <c r="K72" s="3" t="inlineStr">
        <is>
          <t>Transcriptome Sequencing On Illumina Novaseq X Plus Platform</t>
        </is>
      </c>
      <c r="L72" s="3" t="inlineStr">
        <is>
          <t>Trizol</t>
        </is>
      </c>
      <c r="M72" s="3" t="inlineStr">
        <is>
          <t>Wts Seq</t>
        </is>
      </c>
      <c r="N72" s="3" t="inlineStr">
        <is>
          <t>Without Analysis</t>
        </is>
      </c>
      <c r="O72" s="3" t="n">
        <v>4</v>
      </c>
      <c r="P72" s="3" t="inlineStr">
        <is>
          <t>8-9 GB /sample</t>
        </is>
      </c>
      <c r="Q72" s="3" t="n">
        <v>9</v>
      </c>
      <c r="R72" s="3" t="n">
        <v>36</v>
      </c>
      <c r="S72" s="3" t="n">
        <v>13000</v>
      </c>
      <c r="T72" s="5" t="n">
        <v>52000</v>
      </c>
      <c r="U72" s="5" t="n">
        <v>9360</v>
      </c>
      <c r="V72" s="5" t="n">
        <v>61360</v>
      </c>
      <c r="W72" s="3" t="inlineStr">
        <is>
          <t>UG/NGS/TP/2409987R2</t>
        </is>
      </c>
      <c r="X72" s="3" t="inlineStr">
        <is>
          <t xml:space="preserve">South -2 </t>
        </is>
      </c>
      <c r="Y72" s="3" t="inlineStr">
        <is>
          <t>Tamil Nadu</t>
        </is>
      </c>
      <c r="Z72" s="3" t="inlineStr">
        <is>
          <t>Chennai</t>
        </is>
      </c>
      <c r="AA72" s="3" t="n">
        <v>0</v>
      </c>
      <c r="AB72" s="3" t="n">
        <v>4</v>
      </c>
      <c r="AC72" s="4" t="n">
        <v>46090</v>
      </c>
      <c r="AD72" s="3" t="n">
        <v>3</v>
      </c>
      <c r="AE72" s="3" t="inlineStr"/>
      <c r="AF72" s="3" t="inlineStr"/>
      <c r="AG72" s="3" t="inlineStr"/>
      <c r="AH72" s="3" t="inlineStr"/>
      <c r="AI72" s="3" t="inlineStr"/>
      <c r="AJ72" s="3" t="inlineStr">
        <is>
          <t>QC Fail</t>
        </is>
      </c>
      <c r="AK72" s="5" t="n">
        <v>0</v>
      </c>
      <c r="AL72" s="5" t="n">
        <v>0</v>
      </c>
      <c r="AM72" s="5" t="n">
        <v>0</v>
      </c>
      <c r="AN72" s="3" t="inlineStr"/>
      <c r="AO72" s="5" t="n">
        <v>0</v>
      </c>
      <c r="AP72" s="5" t="n">
        <v>0</v>
      </c>
      <c r="AQ72" s="3" t="inlineStr"/>
    </row>
    <row r="73">
      <c r="A73" s="3" t="inlineStr">
        <is>
          <t>72</t>
        </is>
      </c>
      <c r="B73" s="3" t="inlineStr">
        <is>
          <t>Re-NGS 260072</t>
        </is>
      </c>
      <c r="C73" s="4" t="n">
        <v>46078</v>
      </c>
      <c r="D73" s="3" t="inlineStr">
        <is>
          <t>February- 2026</t>
        </is>
      </c>
      <c r="E73" s="4" t="n">
        <v>46107</v>
      </c>
      <c r="F73" s="3" t="inlineStr">
        <is>
          <t>Dr. Aanchal Kakkar</t>
        </is>
      </c>
      <c r="G73" s="3" t="inlineStr">
        <is>
          <t>Aiims - Delhi</t>
        </is>
      </c>
      <c r="H73" s="3" t="inlineStr">
        <is>
          <t>Aiims - Delhi</t>
        </is>
      </c>
      <c r="I73" s="3" t="inlineStr">
        <is>
          <t>draanchalkakkar@aiims.edu</t>
        </is>
      </c>
      <c r="J73" s="3" t="inlineStr"/>
      <c r="K73" s="3" t="inlineStr">
        <is>
          <t>Paired Exome Sequencing &amp; Analysis On Illumina Novaseq X Plus Platform</t>
        </is>
      </c>
      <c r="L73" s="3" t="inlineStr">
        <is>
          <t>Ffpe Tissue</t>
        </is>
      </c>
      <c r="M73" s="3" t="inlineStr">
        <is>
          <t>Wes Seq</t>
        </is>
      </c>
      <c r="N73" s="3" t="inlineStr">
        <is>
          <t>With Analysis</t>
        </is>
      </c>
      <c r="O73" s="3" t="n">
        <v>8</v>
      </c>
      <c r="P73" s="3" t="inlineStr">
        <is>
          <t>22-25 GB/Sample</t>
        </is>
      </c>
      <c r="Q73" s="3" t="n">
        <v>25</v>
      </c>
      <c r="R73" s="3" t="n">
        <v>200</v>
      </c>
      <c r="S73" s="3" t="n">
        <v>23700</v>
      </c>
      <c r="T73" s="5" t="n">
        <v>189600</v>
      </c>
      <c r="U73" s="5" t="n">
        <v>34128</v>
      </c>
      <c r="V73" s="5" t="n">
        <v>223728</v>
      </c>
      <c r="W73" s="3" t="inlineStr">
        <is>
          <t>UG/NGS/TP/2601491R1</t>
        </is>
      </c>
      <c r="X73" s="3" t="inlineStr">
        <is>
          <t>Direct</t>
        </is>
      </c>
      <c r="Y73" s="3" t="inlineStr">
        <is>
          <t>Delhi</t>
        </is>
      </c>
      <c r="Z73" s="3" t="inlineStr">
        <is>
          <t>Delhi</t>
        </is>
      </c>
      <c r="AA73" s="3" t="n">
        <v>8</v>
      </c>
      <c r="AB73" s="3" t="n">
        <v>0</v>
      </c>
      <c r="AC73" s="4" t="n">
        <v>46107</v>
      </c>
      <c r="AD73" s="3" t="n">
        <v>0</v>
      </c>
      <c r="AE73" s="3" t="inlineStr">
        <is>
          <t>117 &amp; 118</t>
        </is>
      </c>
      <c r="AF73" s="4" t="n">
        <v>46160</v>
      </c>
      <c r="AG73" s="4" t="n">
        <v>46195</v>
      </c>
      <c r="AH73" s="3" t="inlineStr"/>
      <c r="AI73" s="3" t="inlineStr"/>
      <c r="AJ73" s="3" t="inlineStr">
        <is>
          <t xml:space="preserve"> Project Closure</t>
        </is>
      </c>
      <c r="AK73" s="5" t="n">
        <v>189600</v>
      </c>
      <c r="AL73" s="5" t="n">
        <v>34128</v>
      </c>
      <c r="AM73" s="5" t="n">
        <v>223728</v>
      </c>
      <c r="AN73" s="3" t="inlineStr"/>
      <c r="AO73" s="5" t="n">
        <v>0</v>
      </c>
      <c r="AP73" s="5" t="n">
        <v>-223728</v>
      </c>
      <c r="AQ73" s="3" t="inlineStr"/>
    </row>
    <row r="74">
      <c r="A74" s="3" t="inlineStr">
        <is>
          <t>73</t>
        </is>
      </c>
      <c r="B74" s="3" t="inlineStr">
        <is>
          <t>NGS 260073</t>
        </is>
      </c>
      <c r="C74" s="4" t="n">
        <v>46078</v>
      </c>
      <c r="D74" s="3" t="inlineStr">
        <is>
          <t>February- 2026</t>
        </is>
      </c>
      <c r="E74" s="4" t="n">
        <v>46080</v>
      </c>
      <c r="F74" s="3" t="inlineStr">
        <is>
          <t>Dr. Devashish Santosh Dahatre</t>
        </is>
      </c>
      <c r="G74" s="3" t="inlineStr">
        <is>
          <t>Parul University</t>
        </is>
      </c>
      <c r="H74" s="3" t="inlineStr">
        <is>
          <t>Parul University</t>
        </is>
      </c>
      <c r="I74" s="3" t="inlineStr">
        <is>
          <t>Devashishdahatre900@gmail.com</t>
        </is>
      </c>
      <c r="J74" s="3" t="inlineStr"/>
      <c r="K74" s="3" t="inlineStr">
        <is>
          <t>RNA Sequencing On Illumina Novaseq X Plus Platform</t>
        </is>
      </c>
      <c r="L74" s="3" t="inlineStr">
        <is>
          <t>Human Blood Sample</t>
        </is>
      </c>
      <c r="M74" s="3" t="inlineStr">
        <is>
          <t>RNA Seq</t>
        </is>
      </c>
      <c r="N74" s="3" t="inlineStr">
        <is>
          <t>Without Analysis</t>
        </is>
      </c>
      <c r="O74" s="3" t="n">
        <v>6</v>
      </c>
      <c r="P74" s="3" t="inlineStr">
        <is>
          <t>~ 5-6 GB/Sample</t>
        </is>
      </c>
      <c r="Q74" s="3" t="n">
        <v>6</v>
      </c>
      <c r="R74" s="3" t="n">
        <v>36</v>
      </c>
      <c r="S74" s="3" t="n">
        <v>14000</v>
      </c>
      <c r="T74" s="5" t="n">
        <v>84000</v>
      </c>
      <c r="U74" s="5" t="n">
        <v>15120</v>
      </c>
      <c r="V74" s="5" t="n">
        <v>99120</v>
      </c>
      <c r="W74" s="3" t="inlineStr">
        <is>
          <t>UG/NGS/TP/2602528</t>
        </is>
      </c>
      <c r="X74" s="3" t="inlineStr">
        <is>
          <t>Direct</t>
        </is>
      </c>
      <c r="Y74" s="3" t="inlineStr">
        <is>
          <t>Gujarat</t>
        </is>
      </c>
      <c r="Z74" s="3" t="inlineStr">
        <is>
          <t>Vadodara</t>
        </is>
      </c>
      <c r="AA74" s="3" t="n">
        <v>6</v>
      </c>
      <c r="AB74" s="3" t="n">
        <v>0</v>
      </c>
      <c r="AC74" s="4" t="n">
        <v>46083</v>
      </c>
      <c r="AD74" s="3" t="n">
        <v>3</v>
      </c>
      <c r="AE74" s="3" t="inlineStr">
        <is>
          <t>107</t>
        </is>
      </c>
      <c r="AF74" s="4" t="n">
        <v>46091</v>
      </c>
      <c r="AG74" s="3" t="inlineStr"/>
      <c r="AH74" s="3" t="inlineStr">
        <is>
          <t>UPL/GEN/2627/26</t>
        </is>
      </c>
      <c r="AI74" s="4" t="n">
        <v>46149</v>
      </c>
      <c r="AJ74" s="3" t="inlineStr">
        <is>
          <t xml:space="preserve"> Project Closure</t>
        </is>
      </c>
      <c r="AK74" s="5" t="n">
        <v>84000</v>
      </c>
      <c r="AL74" s="5" t="n">
        <v>15120</v>
      </c>
      <c r="AM74" s="5" t="n">
        <v>99120</v>
      </c>
      <c r="AN74" s="3" t="n">
        <v>70</v>
      </c>
      <c r="AO74" s="5" t="n">
        <v>99120</v>
      </c>
      <c r="AP74" s="5" t="n">
        <v>0</v>
      </c>
      <c r="AQ74" s="4" t="n">
        <v>46090</v>
      </c>
    </row>
    <row r="75">
      <c r="A75" s="3" t="inlineStr">
        <is>
          <t>74</t>
        </is>
      </c>
      <c r="B75" s="3" t="inlineStr">
        <is>
          <t>NGS 260074</t>
        </is>
      </c>
      <c r="C75" s="4" t="n">
        <v>46079</v>
      </c>
      <c r="D75" s="3" t="inlineStr">
        <is>
          <t>February- 2026</t>
        </is>
      </c>
      <c r="E75" s="4" t="n">
        <v>46079</v>
      </c>
      <c r="F75" s="3" t="inlineStr">
        <is>
          <t>Dr. Juhi Tayal</t>
        </is>
      </c>
      <c r="G75" s="3" t="inlineStr">
        <is>
          <t>Rgcirc, Delhi</t>
        </is>
      </c>
      <c r="H75" s="3" t="inlineStr">
        <is>
          <t>Rgcirc, Delhi</t>
        </is>
      </c>
      <c r="I75" s="3" t="inlineStr">
        <is>
          <t>juhitayal76@gmail.com</t>
        </is>
      </c>
      <c r="J75" s="3" t="inlineStr"/>
      <c r="K75" s="3" t="inlineStr">
        <is>
          <t>RNA Sequencing On Illumina Novaseq X Plus Platform</t>
        </is>
      </c>
      <c r="L75" s="3" t="inlineStr">
        <is>
          <t>Human Tissue</t>
        </is>
      </c>
      <c r="M75" s="3" t="inlineStr">
        <is>
          <t>RNA Seq</t>
        </is>
      </c>
      <c r="N75" s="3" t="inlineStr">
        <is>
          <t>Without Analysis</t>
        </is>
      </c>
      <c r="O75" s="3" t="n">
        <v>60</v>
      </c>
      <c r="P75" s="3" t="inlineStr">
        <is>
          <t>8-9 GB/Sample</t>
        </is>
      </c>
      <c r="Q75" s="3" t="n">
        <v>9</v>
      </c>
      <c r="R75" s="3" t="n">
        <v>540</v>
      </c>
      <c r="S75" s="3" t="n">
        <v>10500</v>
      </c>
      <c r="T75" s="5" t="n">
        <v>630000</v>
      </c>
      <c r="U75" s="5" t="n">
        <v>113400</v>
      </c>
      <c r="V75" s="5" t="n">
        <v>743400</v>
      </c>
      <c r="W75" s="3" t="inlineStr">
        <is>
          <t>UG/NGS/TP/2509140R1</t>
        </is>
      </c>
      <c r="X75" s="3" t="inlineStr">
        <is>
          <t xml:space="preserve">Harsh </t>
        </is>
      </c>
      <c r="Y75" s="3" t="inlineStr">
        <is>
          <t>Delhi</t>
        </is>
      </c>
      <c r="Z75" s="3" t="inlineStr">
        <is>
          <t>Delhi</t>
        </is>
      </c>
      <c r="AA75" s="3" t="n">
        <v>58</v>
      </c>
      <c r="AB75" s="3" t="n">
        <v>2</v>
      </c>
      <c r="AC75" s="4" t="n">
        <v>46093</v>
      </c>
      <c r="AD75" s="3" t="n">
        <v>14</v>
      </c>
      <c r="AE75" s="3" t="inlineStr">
        <is>
          <t>115 &amp; 116</t>
        </is>
      </c>
      <c r="AF75" s="4" t="n">
        <v>46128</v>
      </c>
      <c r="AG75" s="3" t="inlineStr"/>
      <c r="AH75" s="3" t="inlineStr">
        <is>
          <t>UPL/GEN/341/2526</t>
        </is>
      </c>
      <c r="AI75" s="3" t="inlineStr"/>
      <c r="AJ75" s="3" t="inlineStr">
        <is>
          <t xml:space="preserve"> Project Closure</t>
        </is>
      </c>
      <c r="AK75" s="5" t="n">
        <v>609000</v>
      </c>
      <c r="AL75" s="5" t="n">
        <v>109620</v>
      </c>
      <c r="AM75" s="5" t="n">
        <v>718620</v>
      </c>
      <c r="AN75" s="3" t="n">
        <v>46219</v>
      </c>
      <c r="AO75" s="5" t="n">
        <v>718620</v>
      </c>
      <c r="AP75" s="5" t="n">
        <v>0</v>
      </c>
      <c r="AQ75" s="3" t="inlineStr"/>
    </row>
    <row r="76">
      <c r="A76" s="3" t="inlineStr">
        <is>
          <t>75</t>
        </is>
      </c>
      <c r="B76" s="3" t="inlineStr">
        <is>
          <t>NGS 260075</t>
        </is>
      </c>
      <c r="C76" s="4" t="n">
        <v>46079</v>
      </c>
      <c r="D76" s="3" t="inlineStr">
        <is>
          <t>February- 2026</t>
        </is>
      </c>
      <c r="E76" s="4" t="n">
        <v>46079</v>
      </c>
      <c r="F76" s="3" t="inlineStr">
        <is>
          <t>Abhishek Tripathi</t>
        </is>
      </c>
      <c r="G76" s="3" t="inlineStr">
        <is>
          <t>Novelgene Technology Private Limited</t>
        </is>
      </c>
      <c r="H76" s="3" t="inlineStr">
        <is>
          <t>Novelgene Technology Private Limited</t>
        </is>
      </c>
      <c r="I76" s="3" t="inlineStr">
        <is>
          <t>abhishek@novelgenetech.com</t>
        </is>
      </c>
      <c r="J76" s="3" t="inlineStr">
        <is>
          <t>89777 41872</t>
        </is>
      </c>
      <c r="K76" s="3" t="inlineStr">
        <is>
          <t>Transcriptome Sequencing On Illumina Novaseq X Plus Platform</t>
        </is>
      </c>
      <c r="L76" s="3" t="inlineStr">
        <is>
          <t>Tissue (Tomato Fruit )</t>
        </is>
      </c>
      <c r="M76" s="3" t="inlineStr">
        <is>
          <t>Wts Seq</t>
        </is>
      </c>
      <c r="N76" s="3" t="inlineStr">
        <is>
          <t>Without Analysis</t>
        </is>
      </c>
      <c r="O76" s="3" t="n">
        <v>8</v>
      </c>
      <c r="P76" s="3" t="inlineStr">
        <is>
          <t>5-6 GB/Sample</t>
        </is>
      </c>
      <c r="Q76" s="3" t="n">
        <v>6</v>
      </c>
      <c r="R76" s="3" t="n">
        <v>48</v>
      </c>
      <c r="S76" s="3" t="n">
        <v>9000</v>
      </c>
      <c r="T76" s="5" t="n">
        <v>72000</v>
      </c>
      <c r="U76" s="5" t="n">
        <v>12960</v>
      </c>
      <c r="V76" s="5" t="n">
        <v>84960</v>
      </c>
      <c r="W76" s="3" t="inlineStr">
        <is>
          <t>UG/NGS/TP/2602560</t>
        </is>
      </c>
      <c r="X76" s="3" t="inlineStr">
        <is>
          <t xml:space="preserve">Harsh </t>
        </is>
      </c>
      <c r="Y76" s="3" t="inlineStr">
        <is>
          <t>Telangana</t>
        </is>
      </c>
      <c r="Z76" s="3" t="inlineStr">
        <is>
          <t>Hyderabad</t>
        </is>
      </c>
      <c r="AA76" s="3" t="n">
        <v>8</v>
      </c>
      <c r="AB76" s="3" t="n">
        <v>0</v>
      </c>
      <c r="AC76" s="4" t="n">
        <v>46116</v>
      </c>
      <c r="AD76" s="3" t="n">
        <v>37</v>
      </c>
      <c r="AE76" s="3" t="inlineStr">
        <is>
          <t>120 &amp; 121 &amp; 132 &amp; 135</t>
        </is>
      </c>
      <c r="AF76" s="4" t="n">
        <v>46143</v>
      </c>
      <c r="AG76" s="3" t="inlineStr"/>
      <c r="AH76" s="3" t="inlineStr"/>
      <c r="AI76" s="3" t="inlineStr"/>
      <c r="AJ76" s="3" t="inlineStr">
        <is>
          <t xml:space="preserve"> Project Closure</t>
        </is>
      </c>
      <c r="AK76" s="5" t="n">
        <v>72000</v>
      </c>
      <c r="AL76" s="5" t="n">
        <v>12960</v>
      </c>
      <c r="AM76" s="5" t="n">
        <v>84960</v>
      </c>
      <c r="AN76" s="3" t="n">
        <v>46219</v>
      </c>
      <c r="AO76" s="5" t="n">
        <v>0</v>
      </c>
      <c r="AP76" s="5" t="n">
        <v>-84960</v>
      </c>
      <c r="AQ76" s="3" t="inlineStr"/>
    </row>
    <row r="77">
      <c r="A77" s="3" t="inlineStr">
        <is>
          <t>76</t>
        </is>
      </c>
      <c r="B77" s="3" t="inlineStr">
        <is>
          <t>NGS 260077</t>
        </is>
      </c>
      <c r="C77" s="4" t="n">
        <v>46079</v>
      </c>
      <c r="D77" s="3" t="inlineStr">
        <is>
          <t>February- 2026</t>
        </is>
      </c>
      <c r="E77" s="4" t="n">
        <v>46093</v>
      </c>
      <c r="F77" s="3" t="inlineStr">
        <is>
          <t>Dr. Nidhi Shukla</t>
        </is>
      </c>
      <c r="G77" s="3" t="inlineStr">
        <is>
          <t>Cadila Pharmaceuticals Pvt.Ltd</t>
        </is>
      </c>
      <c r="H77" s="3" t="inlineStr">
        <is>
          <t>Cadila Pharmaceuticals Pvt.Ltd</t>
        </is>
      </c>
      <c r="I77" s="3" t="inlineStr">
        <is>
          <t>nidhi.shukla@cplbio.com</t>
        </is>
      </c>
      <c r="J77" s="3" t="inlineStr"/>
      <c r="K77" s="3" t="inlineStr">
        <is>
          <t>Cell Line Characterization RNA Based</t>
        </is>
      </c>
      <c r="L77" s="3" t="inlineStr">
        <is>
          <t>N/A</t>
        </is>
      </c>
      <c r="M77" s="3" t="inlineStr">
        <is>
          <t>Cell Line</t>
        </is>
      </c>
      <c r="N77" s="3" t="inlineStr">
        <is>
          <t>With Analysis</t>
        </is>
      </c>
      <c r="O77" s="3" t="n">
        <v>5</v>
      </c>
      <c r="P77" s="3" t="inlineStr">
        <is>
          <t>2-3 GB/sample</t>
        </is>
      </c>
      <c r="Q77" s="3" t="n">
        <v>3</v>
      </c>
      <c r="R77" s="3" t="n">
        <v>15</v>
      </c>
      <c r="S77" s="3" t="n">
        <v>50000</v>
      </c>
      <c r="T77" s="5" t="n">
        <v>250000</v>
      </c>
      <c r="U77" s="5" t="n">
        <v>45000</v>
      </c>
      <c r="V77" s="5" t="n">
        <v>295000</v>
      </c>
      <c r="W77" s="3" t="inlineStr">
        <is>
          <t>UG/NGS/TP/2602557</t>
        </is>
      </c>
      <c r="X77" s="3" t="inlineStr">
        <is>
          <t>Direct</t>
        </is>
      </c>
      <c r="Y77" s="3" t="inlineStr">
        <is>
          <t>Gujarat</t>
        </is>
      </c>
      <c r="Z77" s="3" t="inlineStr">
        <is>
          <t>Ahmedabad</t>
        </is>
      </c>
      <c r="AA77" s="3" t="n">
        <v>5</v>
      </c>
      <c r="AB77" s="3" t="n">
        <v>0</v>
      </c>
      <c r="AC77" s="3" t="inlineStr"/>
      <c r="AD77" s="3" t="inlineStr"/>
      <c r="AE77" s="3" t="inlineStr">
        <is>
          <t>120</t>
        </is>
      </c>
      <c r="AF77" s="3" t="inlineStr"/>
      <c r="AG77" s="4" t="n">
        <v>46196</v>
      </c>
      <c r="AH77" s="3" t="inlineStr"/>
      <c r="AI77" s="3" t="inlineStr"/>
      <c r="AJ77" s="3" t="inlineStr">
        <is>
          <t xml:space="preserve"> Project Closure</t>
        </is>
      </c>
      <c r="AK77" s="5" t="n">
        <v>250000</v>
      </c>
      <c r="AL77" s="5" t="n">
        <v>45000</v>
      </c>
      <c r="AM77" s="5" t="n">
        <v>295000</v>
      </c>
      <c r="AN77" s="3" t="n">
        <v>46219</v>
      </c>
      <c r="AO77" s="5" t="n">
        <v>295000</v>
      </c>
      <c r="AP77" s="5" t="n">
        <v>0</v>
      </c>
      <c r="AQ77" s="4" t="n">
        <v>46164</v>
      </c>
    </row>
    <row r="78">
      <c r="A78" s="3" t="inlineStr">
        <is>
          <t>77</t>
        </is>
      </c>
      <c r="B78" s="3" t="inlineStr">
        <is>
          <t>NGS 260078</t>
        </is>
      </c>
      <c r="C78" s="4" t="n">
        <v>46079</v>
      </c>
      <c r="D78" s="3" t="inlineStr">
        <is>
          <t>February- 2026</t>
        </is>
      </c>
      <c r="E78" s="4" t="n">
        <v>46080</v>
      </c>
      <c r="F78" s="3" t="inlineStr">
        <is>
          <t>Mr.Digil</t>
        </is>
      </c>
      <c r="G78" s="3" t="inlineStr">
        <is>
          <t>Geno Connect Services Private Limited</t>
        </is>
      </c>
      <c r="H78" s="3" t="inlineStr">
        <is>
          <t>Geno Connect Services Private Limited</t>
        </is>
      </c>
      <c r="I78" s="3" t="inlineStr">
        <is>
          <t>Genoconnect.pvt.ltd@gmail.com</t>
        </is>
      </c>
      <c r="J78" s="3" t="inlineStr"/>
      <c r="K78" s="3" t="inlineStr">
        <is>
          <t>Low Pass Whole Genome Sequencing On Illumina Novaseq X Plus Platform</t>
        </is>
      </c>
      <c r="L78" s="3" t="inlineStr">
        <is>
          <t>Swab Samples</t>
        </is>
      </c>
      <c r="M78" s="3" t="inlineStr">
        <is>
          <t>Low Pass</t>
        </is>
      </c>
      <c r="N78" s="3" t="inlineStr">
        <is>
          <t>Without Analysis</t>
        </is>
      </c>
      <c r="O78" s="3" t="n">
        <v>3</v>
      </c>
      <c r="P78" s="3" t="inlineStr">
        <is>
          <t>3 GB/Sample</t>
        </is>
      </c>
      <c r="Q78" s="3" t="n">
        <v>3</v>
      </c>
      <c r="R78" s="3" t="n">
        <v>9</v>
      </c>
      <c r="S78" s="3" t="n">
        <v>3000</v>
      </c>
      <c r="T78" s="5" t="n">
        <v>9000</v>
      </c>
      <c r="U78" s="5" t="n">
        <v>1620</v>
      </c>
      <c r="V78" s="5" t="n">
        <v>10620</v>
      </c>
      <c r="W78" s="3" t="inlineStr">
        <is>
          <t>UG/NGS/TP/2512388R1</t>
        </is>
      </c>
      <c r="X78" s="3" t="inlineStr">
        <is>
          <t>Direct</t>
        </is>
      </c>
      <c r="Y78" s="3" t="inlineStr">
        <is>
          <t>Kerala</t>
        </is>
      </c>
      <c r="Z78" s="3" t="inlineStr">
        <is>
          <t>N/A</t>
        </is>
      </c>
      <c r="AA78" s="3" t="n">
        <v>3</v>
      </c>
      <c r="AB78" s="3" t="n">
        <v>0</v>
      </c>
      <c r="AC78" s="4" t="n">
        <v>46093</v>
      </c>
      <c r="AD78" s="3" t="n">
        <v>13</v>
      </c>
      <c r="AE78" s="3" t="inlineStr">
        <is>
          <t>108</t>
        </is>
      </c>
      <c r="AF78" s="4" t="n">
        <v>46126</v>
      </c>
      <c r="AG78" s="3" t="inlineStr"/>
      <c r="AH78" s="3" t="inlineStr">
        <is>
          <t>UPL/GEN/2627/38</t>
        </is>
      </c>
      <c r="AI78" s="4" t="n">
        <v>46168</v>
      </c>
      <c r="AJ78" s="3" t="inlineStr">
        <is>
          <t xml:space="preserve"> Project Closure</t>
        </is>
      </c>
      <c r="AK78" s="5" t="n">
        <v>9000</v>
      </c>
      <c r="AL78" s="5" t="n">
        <v>1620</v>
      </c>
      <c r="AM78" s="5" t="n">
        <v>10620</v>
      </c>
      <c r="AN78" s="3" t="n">
        <v>51</v>
      </c>
      <c r="AO78" s="5" t="n">
        <v>10620</v>
      </c>
      <c r="AP78" s="5" t="n">
        <v>0</v>
      </c>
      <c r="AQ78" s="4" t="n">
        <v>46122</v>
      </c>
    </row>
    <row r="79">
      <c r="A79" s="3" t="inlineStr">
        <is>
          <t>78</t>
        </is>
      </c>
      <c r="B79" s="3" t="inlineStr">
        <is>
          <t>NGS 260079</t>
        </is>
      </c>
      <c r="C79" s="4" t="n">
        <v>46079</v>
      </c>
      <c r="D79" s="3" t="inlineStr">
        <is>
          <t>February- 2026</t>
        </is>
      </c>
      <c r="E79" s="4" t="n">
        <v>46099</v>
      </c>
      <c r="F79" s="3" t="inlineStr">
        <is>
          <t>Sudharson Narayanan</t>
        </is>
      </c>
      <c r="G79" s="3" t="inlineStr">
        <is>
          <t>Symbiont Life Sciences</t>
        </is>
      </c>
      <c r="H79" s="3" t="inlineStr">
        <is>
          <t>Symbiont Life Sciences</t>
        </is>
      </c>
      <c r="I79" s="3" t="inlineStr">
        <is>
          <t>symbiontcs@gmail.com</t>
        </is>
      </c>
      <c r="J79" s="3" t="inlineStr">
        <is>
          <t>8838222756</t>
        </is>
      </c>
      <c r="K79" s="3" t="inlineStr">
        <is>
          <t>16S Rrna Metagenome V3-V4 Sequencing &amp; Analysis On Illumina Platforms</t>
        </is>
      </c>
      <c r="L79" s="3" t="inlineStr">
        <is>
          <t>Forelimb And Hindlimb</t>
        </is>
      </c>
      <c r="M79" s="3" t="inlineStr">
        <is>
          <t>16S V3-V4</t>
        </is>
      </c>
      <c r="N79" s="3" t="inlineStr">
        <is>
          <t>Without Analysis</t>
        </is>
      </c>
      <c r="O79" s="3" t="n">
        <v>1</v>
      </c>
      <c r="P79" s="3" t="inlineStr">
        <is>
          <t>1,00,000 reads/sample</t>
        </is>
      </c>
      <c r="Q79" s="3" t="n">
        <v>0.1</v>
      </c>
      <c r="R79" s="3" t="n">
        <v>0.1</v>
      </c>
      <c r="S79" s="3" t="n">
        <v>6000</v>
      </c>
      <c r="T79" s="5" t="n">
        <v>6000</v>
      </c>
      <c r="U79" s="5" t="n">
        <v>1080</v>
      </c>
      <c r="V79" s="5" t="n">
        <v>7080</v>
      </c>
      <c r="W79" s="3" t="inlineStr">
        <is>
          <t>UG/NGS/TP/2303214R2</t>
        </is>
      </c>
      <c r="X79" s="3" t="inlineStr">
        <is>
          <t xml:space="preserve">South -2 </t>
        </is>
      </c>
      <c r="Y79" s="3" t="inlineStr">
        <is>
          <t>Tamil Nadu</t>
        </is>
      </c>
      <c r="Z79" s="3" t="inlineStr">
        <is>
          <t>Chennai</t>
        </is>
      </c>
      <c r="AA79" s="3" t="n">
        <v>1</v>
      </c>
      <c r="AB79" s="3" t="n">
        <v>0</v>
      </c>
      <c r="AC79" s="4" t="n">
        <v>46111</v>
      </c>
      <c r="AD79" s="3" t="n">
        <v>12</v>
      </c>
      <c r="AE79" s="3" t="inlineStr"/>
      <c r="AF79" s="3" t="inlineStr"/>
      <c r="AG79" s="3" t="inlineStr"/>
      <c r="AH79" s="3" t="inlineStr"/>
      <c r="AI79" s="3" t="inlineStr"/>
      <c r="AJ79" s="3" t="inlineStr"/>
      <c r="AK79" s="5" t="n">
        <v>6000</v>
      </c>
      <c r="AL79" s="5" t="n">
        <v>1080</v>
      </c>
      <c r="AM79" s="5" t="n">
        <v>7080</v>
      </c>
      <c r="AN79" s="3" t="inlineStr"/>
      <c r="AO79" s="5" t="n">
        <v>0</v>
      </c>
      <c r="AP79" s="5" t="n">
        <v>-7080</v>
      </c>
      <c r="AQ79" s="3" t="inlineStr"/>
    </row>
    <row r="80">
      <c r="A80" s="3" t="inlineStr">
        <is>
          <t>79</t>
        </is>
      </c>
      <c r="B80" s="3" t="inlineStr">
        <is>
          <t>NGS 260080</t>
        </is>
      </c>
      <c r="C80" s="4" t="n">
        <v>46080</v>
      </c>
      <c r="D80" s="3" t="inlineStr">
        <is>
          <t>February- 2026</t>
        </is>
      </c>
      <c r="E80" s="4" t="n">
        <v>46081</v>
      </c>
      <c r="F80" s="3" t="inlineStr">
        <is>
          <t>Sandra Vs</t>
        </is>
      </c>
      <c r="G80" s="3" t="inlineStr">
        <is>
          <t>Government Women'S College</t>
        </is>
      </c>
      <c r="H80" s="3" t="inlineStr">
        <is>
          <t>Government Women'S College</t>
        </is>
      </c>
      <c r="I80" s="3" t="inlineStr">
        <is>
          <t>sandravs252001@gmail.com</t>
        </is>
      </c>
      <c r="J80" s="3" t="inlineStr"/>
      <c r="K80" s="3" t="inlineStr">
        <is>
          <t>Whole Metagenome Sequencing &amp; Analysis On Illumina Novaseq X Plus Platform</t>
        </is>
      </c>
      <c r="L80" s="3" t="inlineStr">
        <is>
          <t>Soil Microbes</t>
        </is>
      </c>
      <c r="M80" s="3" t="inlineStr">
        <is>
          <t>Wms</t>
        </is>
      </c>
      <c r="N80" s="3" t="inlineStr">
        <is>
          <t>With Analysis</t>
        </is>
      </c>
      <c r="O80" s="3" t="n">
        <v>2</v>
      </c>
      <c r="P80" s="3" t="inlineStr">
        <is>
          <t>5-6 GB / sample</t>
        </is>
      </c>
      <c r="Q80" s="3" t="n">
        <v>6</v>
      </c>
      <c r="R80" s="3" t="n">
        <v>12</v>
      </c>
      <c r="S80" s="3" t="n">
        <v>15000</v>
      </c>
      <c r="T80" s="5" t="n">
        <v>30000</v>
      </c>
      <c r="U80" s="5" t="n">
        <v>5400</v>
      </c>
      <c r="V80" s="5" t="n">
        <v>35400</v>
      </c>
      <c r="W80" s="3" t="inlineStr">
        <is>
          <t>UG/NGS/TP/2504691R1</t>
        </is>
      </c>
      <c r="X80" s="3" t="inlineStr">
        <is>
          <t xml:space="preserve">Theertha </t>
        </is>
      </c>
      <c r="Y80" s="3" t="inlineStr">
        <is>
          <t>Kerala</t>
        </is>
      </c>
      <c r="Z80" s="3" t="inlineStr">
        <is>
          <t>Thiruvananthapuram</t>
        </is>
      </c>
      <c r="AA80" s="3" t="n">
        <v>2</v>
      </c>
      <c r="AB80" s="3" t="n">
        <v>0</v>
      </c>
      <c r="AC80" s="4" t="n">
        <v>46090</v>
      </c>
      <c r="AD80" s="3" t="n">
        <v>9</v>
      </c>
      <c r="AE80" s="3" t="inlineStr">
        <is>
          <t>115 &amp; 116</t>
        </is>
      </c>
      <c r="AF80" s="4" t="n">
        <v>46142</v>
      </c>
      <c r="AG80" s="4" t="n">
        <v>46183</v>
      </c>
      <c r="AH80" s="3" t="inlineStr"/>
      <c r="AI80" s="3" t="inlineStr"/>
      <c r="AJ80" s="3" t="inlineStr">
        <is>
          <t xml:space="preserve"> Project Closure</t>
        </is>
      </c>
      <c r="AK80" s="5" t="n">
        <v>30000</v>
      </c>
      <c r="AL80" s="5" t="n">
        <v>5400</v>
      </c>
      <c r="AM80" s="5" t="n">
        <v>35400</v>
      </c>
      <c r="AN80" s="3" t="inlineStr"/>
      <c r="AO80" s="5" t="n">
        <v>35400</v>
      </c>
      <c r="AP80" s="5" t="n">
        <v>0</v>
      </c>
      <c r="AQ80" s="4" t="n">
        <v>46133</v>
      </c>
    </row>
    <row r="81">
      <c r="A81" s="3" t="inlineStr">
        <is>
          <t>80</t>
        </is>
      </c>
      <c r="B81" s="3" t="inlineStr">
        <is>
          <t>NGS 260081</t>
        </is>
      </c>
      <c r="C81" s="4" t="n">
        <v>46080</v>
      </c>
      <c r="D81" s="3" t="inlineStr">
        <is>
          <t>February- 2026</t>
        </is>
      </c>
      <c r="E81" s="4" t="n">
        <v>46084</v>
      </c>
      <c r="F81" s="3" t="inlineStr">
        <is>
          <t>Dr. Tony</t>
        </is>
      </c>
      <c r="G81" s="3" t="inlineStr">
        <is>
          <t>University Of Kerala</t>
        </is>
      </c>
      <c r="H81" s="3" t="inlineStr">
        <is>
          <t>University Of Kerala</t>
        </is>
      </c>
      <c r="I81" s="3" t="inlineStr">
        <is>
          <t>tonygrace@cukerala.ac.in</t>
        </is>
      </c>
      <c r="J81" s="3" t="inlineStr"/>
      <c r="K81" s="3" t="inlineStr">
        <is>
          <t>Small RNA Sequencing &amp; Analysis On Illumina Platform</t>
        </is>
      </c>
      <c r="L81" s="3" t="inlineStr">
        <is>
          <t>RNA</t>
        </is>
      </c>
      <c r="M81" s="3" t="inlineStr">
        <is>
          <t>Small RNA Seq</t>
        </is>
      </c>
      <c r="N81" s="3" t="inlineStr">
        <is>
          <t>With Analysis</t>
        </is>
      </c>
      <c r="O81" s="3" t="n">
        <v>6</v>
      </c>
      <c r="P81" s="3" t="inlineStr">
        <is>
          <t>15-20 million reads/Sample (PE 50)</t>
        </is>
      </c>
      <c r="Q81" s="3" t="inlineStr"/>
      <c r="R81" s="3" t="n">
        <v>0</v>
      </c>
      <c r="S81" s="3" t="n">
        <v>22590</v>
      </c>
      <c r="T81" s="5" t="n">
        <v>135540</v>
      </c>
      <c r="U81" s="5" t="n">
        <v>24397.2</v>
      </c>
      <c r="V81" s="5" t="n">
        <v>159937.2</v>
      </c>
      <c r="W81" s="3" t="inlineStr">
        <is>
          <t>UG/NGS/TP/2503583R1</t>
        </is>
      </c>
      <c r="X81" s="3" t="inlineStr">
        <is>
          <t xml:space="preserve">Theertha </t>
        </is>
      </c>
      <c r="Y81" s="3" t="inlineStr">
        <is>
          <t>Kerala</t>
        </is>
      </c>
      <c r="Z81" s="3" t="inlineStr">
        <is>
          <t>N/A</t>
        </is>
      </c>
      <c r="AA81" s="3" t="n">
        <v>6</v>
      </c>
      <c r="AB81" s="3" t="n">
        <v>0</v>
      </c>
      <c r="AC81" s="4" t="n">
        <v>46098</v>
      </c>
      <c r="AD81" s="3" t="n">
        <v>14</v>
      </c>
      <c r="AE81" s="3" t="inlineStr">
        <is>
          <t>120 &amp;121</t>
        </is>
      </c>
      <c r="AF81" s="3" t="inlineStr"/>
      <c r="AG81" s="3" t="inlineStr"/>
      <c r="AH81" s="3" t="inlineStr"/>
      <c r="AI81" s="3" t="inlineStr"/>
      <c r="AJ81" s="3" t="inlineStr"/>
      <c r="AK81" s="5" t="n">
        <v>135540</v>
      </c>
      <c r="AL81" s="5" t="n">
        <v>24397.2</v>
      </c>
      <c r="AM81" s="5" t="n">
        <v>159937.2</v>
      </c>
      <c r="AN81" s="3" t="inlineStr"/>
      <c r="AO81" s="5" t="n">
        <v>0</v>
      </c>
      <c r="AP81" s="5" t="n">
        <v>-159937.2</v>
      </c>
      <c r="AQ81" s="3" t="inlineStr"/>
    </row>
    <row r="82">
      <c r="A82" s="3" t="inlineStr">
        <is>
          <t>81</t>
        </is>
      </c>
      <c r="B82" s="3" t="inlineStr">
        <is>
          <t>NGS 260082</t>
        </is>
      </c>
      <c r="C82" s="4" t="n">
        <v>46080</v>
      </c>
      <c r="D82" s="3" t="inlineStr">
        <is>
          <t>February- 2026</t>
        </is>
      </c>
      <c r="E82" s="4" t="n">
        <v>46081</v>
      </c>
      <c r="F82" s="3" t="inlineStr">
        <is>
          <t>Sudharson Narayanan</t>
        </is>
      </c>
      <c r="G82" s="3" t="inlineStr">
        <is>
          <t>Symbiont Life Sciences</t>
        </is>
      </c>
      <c r="H82" s="3" t="inlineStr">
        <is>
          <t>Symbiont Life Sciences</t>
        </is>
      </c>
      <c r="I82" s="3" t="inlineStr">
        <is>
          <t>symbiontcs@gmail.com</t>
        </is>
      </c>
      <c r="J82" s="3" t="inlineStr">
        <is>
          <t>8838222756</t>
        </is>
      </c>
      <c r="K82" s="3" t="inlineStr">
        <is>
          <t>Transcriptome Sequencing &amp; Analysis On Illumina Novaseq X Plus Platform</t>
        </is>
      </c>
      <c r="L82" s="3" t="inlineStr">
        <is>
          <t>Tissue</t>
        </is>
      </c>
      <c r="M82" s="3" t="inlineStr">
        <is>
          <t>RNA Seq</t>
        </is>
      </c>
      <c r="N82" s="3" t="inlineStr">
        <is>
          <t>With Analysis</t>
        </is>
      </c>
      <c r="O82" s="3" t="n">
        <v>10</v>
      </c>
      <c r="P82" s="3" t="inlineStr">
        <is>
          <t>8-9 GB /sample</t>
        </is>
      </c>
      <c r="Q82" s="3" t="n">
        <v>9</v>
      </c>
      <c r="R82" s="3" t="n">
        <v>90</v>
      </c>
      <c r="S82" s="3" t="n">
        <v>13000</v>
      </c>
      <c r="T82" s="5" t="n">
        <v>130000</v>
      </c>
      <c r="U82" s="5" t="n">
        <v>23400</v>
      </c>
      <c r="V82" s="5" t="n">
        <v>153400</v>
      </c>
      <c r="W82" s="3" t="inlineStr">
        <is>
          <t>UG/NGS/TP/2409987R2</t>
        </is>
      </c>
      <c r="X82" s="3" t="inlineStr">
        <is>
          <t xml:space="preserve">South -2 </t>
        </is>
      </c>
      <c r="Y82" s="3" t="inlineStr">
        <is>
          <t>Tamil Nadu</t>
        </is>
      </c>
      <c r="Z82" s="3" t="inlineStr">
        <is>
          <t>Chennai</t>
        </is>
      </c>
      <c r="AA82" s="3" t="n">
        <v>10</v>
      </c>
      <c r="AB82" s="3" t="n">
        <v>0</v>
      </c>
      <c r="AC82" s="4" t="n">
        <v>46113</v>
      </c>
      <c r="AD82" s="3" t="n">
        <v>32</v>
      </c>
      <c r="AE82" s="3" t="inlineStr">
        <is>
          <t>124 &amp; 125</t>
        </is>
      </c>
      <c r="AF82" s="3" t="inlineStr"/>
      <c r="AG82" s="3" t="inlineStr"/>
      <c r="AH82" s="3" t="inlineStr"/>
      <c r="AI82" s="3" t="inlineStr"/>
      <c r="AJ82" s="3" t="inlineStr"/>
      <c r="AK82" s="5" t="n">
        <v>130000</v>
      </c>
      <c r="AL82" s="5" t="n">
        <v>23400</v>
      </c>
      <c r="AM82" s="5" t="n">
        <v>153400</v>
      </c>
      <c r="AN82" s="3" t="inlineStr"/>
      <c r="AO82" s="5" t="n">
        <v>0</v>
      </c>
      <c r="AP82" s="5" t="n">
        <v>-153400</v>
      </c>
      <c r="AQ82" s="3" t="inlineStr"/>
    </row>
    <row r="83">
      <c r="A83" s="3" t="inlineStr">
        <is>
          <t>82</t>
        </is>
      </c>
      <c r="B83" s="3" t="inlineStr">
        <is>
          <t>NGS 260083</t>
        </is>
      </c>
      <c r="C83" s="4" t="n">
        <v>46083</v>
      </c>
      <c r="D83" s="3" t="inlineStr">
        <is>
          <t>March- 2026</t>
        </is>
      </c>
      <c r="E83" s="4" t="n">
        <v>46087</v>
      </c>
      <c r="F83" s="3" t="inlineStr">
        <is>
          <t>Sudharson Narayanan</t>
        </is>
      </c>
      <c r="G83" s="3" t="inlineStr">
        <is>
          <t>Symbiont Life Sciences</t>
        </is>
      </c>
      <c r="H83" s="3" t="inlineStr">
        <is>
          <t>Symbiont Life Sciences</t>
        </is>
      </c>
      <c r="I83" s="3" t="inlineStr">
        <is>
          <t>symbiontcs@gmail.com</t>
        </is>
      </c>
      <c r="J83" s="3" t="inlineStr">
        <is>
          <t>8838222756</t>
        </is>
      </c>
      <c r="K83" s="3" t="inlineStr">
        <is>
          <t>16S Rrna Metagenome V3-V4 Sequencing &amp; Analysis On Illumina Platforms</t>
        </is>
      </c>
      <c r="L83" s="3" t="inlineStr">
        <is>
          <t>Soil</t>
        </is>
      </c>
      <c r="M83" s="3" t="inlineStr">
        <is>
          <t>RNA Seq</t>
        </is>
      </c>
      <c r="N83" s="3" t="inlineStr">
        <is>
          <t>With Analysis</t>
        </is>
      </c>
      <c r="O83" s="3" t="n">
        <v>1</v>
      </c>
      <c r="P83" s="3" t="inlineStr">
        <is>
          <t>1,00,000 reads/sample</t>
        </is>
      </c>
      <c r="Q83" s="3" t="inlineStr"/>
      <c r="R83" s="3" t="n">
        <v>0</v>
      </c>
      <c r="S83" s="3" t="n">
        <v>6000</v>
      </c>
      <c r="T83" s="5" t="n">
        <v>6000</v>
      </c>
      <c r="U83" s="5" t="n">
        <v>1080</v>
      </c>
      <c r="V83" s="5" t="n">
        <v>7080</v>
      </c>
      <c r="W83" s="3" t="inlineStr">
        <is>
          <t>UG/NGS/TP/2303214R2</t>
        </is>
      </c>
      <c r="X83" s="3" t="inlineStr">
        <is>
          <t>Direct</t>
        </is>
      </c>
      <c r="Y83" s="3" t="inlineStr">
        <is>
          <t>South</t>
        </is>
      </c>
      <c r="Z83" s="3" t="inlineStr">
        <is>
          <t>Chennai</t>
        </is>
      </c>
      <c r="AA83" s="3" t="n">
        <v>1</v>
      </c>
      <c r="AB83" s="3" t="n">
        <v>0</v>
      </c>
      <c r="AC83" s="4" t="n">
        <v>46090</v>
      </c>
      <c r="AD83" s="3" t="n">
        <v>3</v>
      </c>
      <c r="AE83" s="3" t="inlineStr"/>
      <c r="AF83" s="3" t="inlineStr"/>
      <c r="AG83" s="3" t="inlineStr"/>
      <c r="AH83" s="3" t="inlineStr"/>
      <c r="AI83" s="3" t="inlineStr"/>
      <c r="AJ83" s="3" t="inlineStr"/>
      <c r="AK83" s="5" t="n">
        <v>6000</v>
      </c>
      <c r="AL83" s="5" t="n">
        <v>1080</v>
      </c>
      <c r="AM83" s="5" t="n">
        <v>7080</v>
      </c>
      <c r="AN83" s="3" t="inlineStr"/>
      <c r="AO83" s="5" t="n">
        <v>0</v>
      </c>
      <c r="AP83" s="5" t="n">
        <v>-7080</v>
      </c>
      <c r="AQ83" s="3" t="inlineStr"/>
    </row>
    <row r="84">
      <c r="A84" s="3" t="inlineStr">
        <is>
          <t>83</t>
        </is>
      </c>
      <c r="B84" s="3" t="inlineStr">
        <is>
          <t>NGS 260084</t>
        </is>
      </c>
      <c r="C84" s="4" t="n">
        <v>46083</v>
      </c>
      <c r="D84" s="3" t="inlineStr">
        <is>
          <t>March- 2026</t>
        </is>
      </c>
      <c r="E84" s="4" t="n">
        <v>46085</v>
      </c>
      <c r="F84" s="3" t="inlineStr">
        <is>
          <t>Dr Divya M S</t>
        </is>
      </c>
      <c r="G84" s="3" t="inlineStr">
        <is>
          <t>Sctimst</t>
        </is>
      </c>
      <c r="H84" s="3" t="inlineStr">
        <is>
          <t>Sctimst</t>
        </is>
      </c>
      <c r="I84" s="3" t="inlineStr">
        <is>
          <t>divyams@sctimst.ac.in</t>
        </is>
      </c>
      <c r="J84" s="3" t="inlineStr">
        <is>
          <t>9567305275</t>
        </is>
      </c>
      <c r="K84" s="3" t="inlineStr">
        <is>
          <t>Transcriptome Sequencing-Mrna</t>
        </is>
      </c>
      <c r="L84" s="3" t="inlineStr">
        <is>
          <t>Frozen Cell Culture Pellet</t>
        </is>
      </c>
      <c r="M84" s="3" t="inlineStr">
        <is>
          <t>Wts Seq</t>
        </is>
      </c>
      <c r="N84" s="3" t="inlineStr">
        <is>
          <t>With Analysis</t>
        </is>
      </c>
      <c r="O84" s="3" t="n">
        <v>8</v>
      </c>
      <c r="P84" s="3" t="inlineStr">
        <is>
          <t>9 GB /sample</t>
        </is>
      </c>
      <c r="Q84" s="3" t="n">
        <v>9</v>
      </c>
      <c r="R84" s="3" t="n">
        <v>72</v>
      </c>
      <c r="S84" s="3" t="n">
        <v>8800</v>
      </c>
      <c r="T84" s="5" t="n">
        <v>70400</v>
      </c>
      <c r="U84" s="5" t="n">
        <v>12672</v>
      </c>
      <c r="V84" s="5" t="n">
        <v>83072</v>
      </c>
      <c r="W84" s="3" t="inlineStr">
        <is>
          <t>GEMC-511687707598286</t>
        </is>
      </c>
      <c r="X84" s="3" t="inlineStr">
        <is>
          <t xml:space="preserve">Theertha </t>
        </is>
      </c>
      <c r="Y84" s="3" t="inlineStr">
        <is>
          <t>South</t>
        </is>
      </c>
      <c r="Z84" s="3" t="inlineStr">
        <is>
          <t>Thiruvananthapuram</t>
        </is>
      </c>
      <c r="AA84" s="3" t="n">
        <v>8</v>
      </c>
      <c r="AB84" s="3" t="n">
        <v>0</v>
      </c>
      <c r="AC84" s="4" t="n">
        <v>46090</v>
      </c>
      <c r="AD84" s="3" t="n">
        <v>5</v>
      </c>
      <c r="AE84" s="3" t="inlineStr">
        <is>
          <t>115 &amp; 116 &amp; 120</t>
        </is>
      </c>
      <c r="AF84" s="4" t="n">
        <v>46128</v>
      </c>
      <c r="AG84" s="4" t="n">
        <v>46162</v>
      </c>
      <c r="AH84" s="3" t="inlineStr"/>
      <c r="AI84" s="3" t="inlineStr"/>
      <c r="AJ84" s="3" t="inlineStr">
        <is>
          <t xml:space="preserve"> Project Closure</t>
        </is>
      </c>
      <c r="AK84" s="5" t="n">
        <v>70400</v>
      </c>
      <c r="AL84" s="5" t="n">
        <v>12672</v>
      </c>
      <c r="AM84" s="5" t="n">
        <v>83072</v>
      </c>
      <c r="AN84" s="3" t="n">
        <v>46219</v>
      </c>
      <c r="AO84" s="5" t="n">
        <v>0</v>
      </c>
      <c r="AP84" s="5" t="n">
        <v>-83072</v>
      </c>
      <c r="AQ84" s="3" t="inlineStr"/>
    </row>
    <row r="85">
      <c r="A85" s="3" t="inlineStr">
        <is>
          <t>84</t>
        </is>
      </c>
      <c r="B85" s="3" t="inlineStr">
        <is>
          <t>NGS 260085</t>
        </is>
      </c>
      <c r="C85" s="4" t="n">
        <v>46083</v>
      </c>
      <c r="D85" s="3" t="inlineStr">
        <is>
          <t>March- 2026</t>
        </is>
      </c>
      <c r="E85" s="4" t="n">
        <v>46087</v>
      </c>
      <c r="F85" s="3" t="inlineStr">
        <is>
          <t>Yara Nader</t>
        </is>
      </c>
      <c r="G85" s="3" t="inlineStr">
        <is>
          <t>Kerala University</t>
        </is>
      </c>
      <c r="H85" s="3" t="inlineStr">
        <is>
          <t>Kerala University</t>
        </is>
      </c>
      <c r="I85" s="3" t="inlineStr">
        <is>
          <t>yarand15060@gmail.com</t>
        </is>
      </c>
      <c r="J85" s="3" t="inlineStr">
        <is>
          <t>8089964627</t>
        </is>
      </c>
      <c r="K85" s="3" t="inlineStr">
        <is>
          <t>16S V3-V4 Metagenome &amp; Analysis Sequencing On Illumina Platform</t>
        </is>
      </c>
      <c r="L85" s="3" t="inlineStr">
        <is>
          <t>Stool</t>
        </is>
      </c>
      <c r="M85" s="3" t="inlineStr">
        <is>
          <t>16S V3-V4 Seq</t>
        </is>
      </c>
      <c r="N85" s="3" t="inlineStr">
        <is>
          <t>With Analysis</t>
        </is>
      </c>
      <c r="O85" s="3" t="n">
        <v>3</v>
      </c>
      <c r="P85" s="3" t="inlineStr">
        <is>
          <t>0.1 M reads/sample</t>
        </is>
      </c>
      <c r="Q85" s="3" t="inlineStr"/>
      <c r="R85" s="3" t="n">
        <v>0</v>
      </c>
      <c r="S85" s="3" t="n">
        <v>6300</v>
      </c>
      <c r="T85" s="5" t="n">
        <v>18900</v>
      </c>
      <c r="U85" s="5" t="n">
        <v>3402</v>
      </c>
      <c r="V85" s="5" t="n">
        <v>22302</v>
      </c>
      <c r="W85" s="3" t="inlineStr">
        <is>
          <t>UG/NGS/TP/2602538</t>
        </is>
      </c>
      <c r="X85" s="3" t="inlineStr">
        <is>
          <t xml:space="preserve">Theertha </t>
        </is>
      </c>
      <c r="Y85" s="3" t="inlineStr">
        <is>
          <t>South</t>
        </is>
      </c>
      <c r="Z85" s="3" t="inlineStr">
        <is>
          <t>Trivandrum</t>
        </is>
      </c>
      <c r="AA85" s="3" t="n">
        <v>3</v>
      </c>
      <c r="AB85" s="3" t="n">
        <v>0</v>
      </c>
      <c r="AC85" s="4" t="n">
        <v>46092</v>
      </c>
      <c r="AD85" s="3" t="n">
        <v>5</v>
      </c>
      <c r="AE85" s="3" t="inlineStr"/>
      <c r="AF85" s="3" t="inlineStr"/>
      <c r="AG85" s="3" t="inlineStr"/>
      <c r="AH85" s="3" t="inlineStr">
        <is>
          <t>337 &amp; 338</t>
        </is>
      </c>
      <c r="AI85" s="3" t="inlineStr"/>
      <c r="AJ85" s="3" t="inlineStr"/>
      <c r="AK85" s="5" t="n">
        <v>18900</v>
      </c>
      <c r="AL85" s="5" t="n">
        <v>3402</v>
      </c>
      <c r="AM85" s="5" t="n">
        <v>22302</v>
      </c>
      <c r="AN85" s="3" t="inlineStr"/>
      <c r="AO85" s="5" t="n">
        <v>0</v>
      </c>
      <c r="AP85" s="5" t="n">
        <v>-22302</v>
      </c>
      <c r="AQ85" s="3" t="inlineStr"/>
    </row>
    <row r="86">
      <c r="A86" s="3" t="inlineStr">
        <is>
          <t>85</t>
        </is>
      </c>
      <c r="B86" s="3" t="inlineStr">
        <is>
          <t>NGS 260086</t>
        </is>
      </c>
      <c r="C86" s="4" t="n">
        <v>46083</v>
      </c>
      <c r="D86" s="3" t="inlineStr">
        <is>
          <t>March- 2026</t>
        </is>
      </c>
      <c r="E86" s="4" t="n">
        <v>46085</v>
      </c>
      <c r="F86" s="3" t="inlineStr">
        <is>
          <t>Minnu Jose</t>
        </is>
      </c>
      <c r="G86" s="3" t="inlineStr">
        <is>
          <t>University Of Calicut</t>
        </is>
      </c>
      <c r="H86" s="3" t="inlineStr">
        <is>
          <t>University Of Calicut</t>
        </is>
      </c>
      <c r="I86" s="3" t="inlineStr">
        <is>
          <t>minnujose693@gmail.com</t>
        </is>
      </c>
      <c r="J86" s="3" t="inlineStr">
        <is>
          <t>8281733715</t>
        </is>
      </c>
      <c r="K86" s="3" t="inlineStr">
        <is>
          <t>Transcriptome Sequencing &amp; Analysis On Illumina Novaseq X Plus Platform</t>
        </is>
      </c>
      <c r="L86" s="3" t="inlineStr">
        <is>
          <t>Tissue</t>
        </is>
      </c>
      <c r="M86" s="3" t="inlineStr">
        <is>
          <t>Wts Seq</t>
        </is>
      </c>
      <c r="N86" s="3" t="inlineStr">
        <is>
          <t>With Analysis</t>
        </is>
      </c>
      <c r="O86" s="3" t="n">
        <v>4</v>
      </c>
      <c r="P86" s="3" t="inlineStr">
        <is>
          <t>10 GB /Sample</t>
        </is>
      </c>
      <c r="Q86" s="3" t="n">
        <v>10</v>
      </c>
      <c r="R86" s="3" t="n">
        <v>40</v>
      </c>
      <c r="S86" s="3" t="n">
        <v>15000</v>
      </c>
      <c r="T86" s="5" t="n">
        <v>60000</v>
      </c>
      <c r="U86" s="5" t="n">
        <v>10800</v>
      </c>
      <c r="V86" s="5" t="n">
        <v>70800</v>
      </c>
      <c r="W86" s="3" t="inlineStr">
        <is>
          <t>UG/NGS/TP/2506791R2</t>
        </is>
      </c>
      <c r="X86" s="3" t="inlineStr">
        <is>
          <t xml:space="preserve">Theertha </t>
        </is>
      </c>
      <c r="Y86" s="3" t="inlineStr">
        <is>
          <t>South</t>
        </is>
      </c>
      <c r="Z86" s="3" t="inlineStr">
        <is>
          <t>Malappuram</t>
        </is>
      </c>
      <c r="AA86" s="3" t="n">
        <v>4</v>
      </c>
      <c r="AB86" s="3" t="n">
        <v>0</v>
      </c>
      <c r="AC86" s="4" t="n">
        <v>46104</v>
      </c>
      <c r="AD86" s="3" t="n">
        <v>19</v>
      </c>
      <c r="AE86" s="3" t="inlineStr">
        <is>
          <t>116 &amp; 117</t>
        </is>
      </c>
      <c r="AF86" s="3" t="inlineStr"/>
      <c r="AG86" s="3" t="inlineStr"/>
      <c r="AH86" s="3" t="inlineStr"/>
      <c r="AI86" s="3" t="inlineStr"/>
      <c r="AJ86" s="3" t="inlineStr"/>
      <c r="AK86" s="5" t="n">
        <v>60000</v>
      </c>
      <c r="AL86" s="5" t="n">
        <v>10800</v>
      </c>
      <c r="AM86" s="5" t="n">
        <v>70800</v>
      </c>
      <c r="AN86" s="3" t="inlineStr"/>
      <c r="AO86" s="5" t="n">
        <v>0</v>
      </c>
      <c r="AP86" s="5" t="n">
        <v>-70800</v>
      </c>
      <c r="AQ86" s="3" t="inlineStr"/>
    </row>
    <row r="87">
      <c r="A87" s="3" t="inlineStr">
        <is>
          <t>86</t>
        </is>
      </c>
      <c r="B87" s="3" t="inlineStr">
        <is>
          <t>NGS 260087</t>
        </is>
      </c>
      <c r="C87" s="4" t="n">
        <v>46091</v>
      </c>
      <c r="D87" s="3" t="inlineStr">
        <is>
          <t>March- 2026</t>
        </is>
      </c>
      <c r="E87" s="4" t="n">
        <v>46092</v>
      </c>
      <c r="F87" s="3" t="inlineStr">
        <is>
          <t>Sudharson Narayanan</t>
        </is>
      </c>
      <c r="G87" s="3" t="inlineStr">
        <is>
          <t>Symbiont Life Sciences</t>
        </is>
      </c>
      <c r="H87" s="3" t="inlineStr">
        <is>
          <t>Symbiont Life Sciences</t>
        </is>
      </c>
      <c r="I87" s="3" t="inlineStr">
        <is>
          <t>symbiontcs@gmail.com</t>
        </is>
      </c>
      <c r="J87" s="3" t="inlineStr">
        <is>
          <t>8838222756</t>
        </is>
      </c>
      <c r="K87" s="3" t="inlineStr">
        <is>
          <t>Mitochondrial Genome Sequencing &amp; Analysis On Illumina Platforms</t>
        </is>
      </c>
      <c r="L87" s="3" t="inlineStr">
        <is>
          <t>Tissue</t>
        </is>
      </c>
      <c r="M87" s="3" t="inlineStr">
        <is>
          <t>Mito</t>
        </is>
      </c>
      <c r="N87" s="3" t="inlineStr">
        <is>
          <t>With Analysis</t>
        </is>
      </c>
      <c r="O87" s="3" t="n">
        <v>1</v>
      </c>
      <c r="P87" s="3" t="inlineStr">
        <is>
          <t>3 GB/sample</t>
        </is>
      </c>
      <c r="Q87" s="3" t="n">
        <v>3</v>
      </c>
      <c r="R87" s="3" t="n">
        <v>3</v>
      </c>
      <c r="S87" s="3" t="n">
        <v>15000</v>
      </c>
      <c r="T87" s="5" t="n">
        <v>15000</v>
      </c>
      <c r="U87" s="5" t="n">
        <v>2700</v>
      </c>
      <c r="V87" s="5" t="n">
        <v>17700</v>
      </c>
      <c r="W87" s="3" t="inlineStr">
        <is>
          <t>UG/NGS/TP/2309855</t>
        </is>
      </c>
      <c r="X87" s="3" t="inlineStr">
        <is>
          <t>Direct</t>
        </is>
      </c>
      <c r="Y87" s="3" t="inlineStr">
        <is>
          <t>South</t>
        </is>
      </c>
      <c r="Z87" s="3" t="inlineStr">
        <is>
          <t>Chennai</t>
        </is>
      </c>
      <c r="AA87" s="3" t="n">
        <v>0</v>
      </c>
      <c r="AB87" s="3" t="n">
        <v>1</v>
      </c>
      <c r="AC87" s="4" t="n">
        <v>46105</v>
      </c>
      <c r="AD87" s="3" t="n">
        <v>13</v>
      </c>
      <c r="AE87" s="3" t="inlineStr"/>
      <c r="AF87" s="3" t="inlineStr"/>
      <c r="AG87" s="3" t="inlineStr"/>
      <c r="AH87" s="3" t="inlineStr"/>
      <c r="AI87" s="3" t="inlineStr"/>
      <c r="AJ87" s="3" t="inlineStr">
        <is>
          <t>QC Fail</t>
        </is>
      </c>
      <c r="AK87" s="5" t="n">
        <v>0</v>
      </c>
      <c r="AL87" s="5" t="n">
        <v>0</v>
      </c>
      <c r="AM87" s="5" t="n">
        <v>0</v>
      </c>
      <c r="AN87" s="3" t="inlineStr"/>
      <c r="AO87" s="5" t="n">
        <v>0</v>
      </c>
      <c r="AP87" s="5" t="n">
        <v>0</v>
      </c>
      <c r="AQ87" s="3" t="inlineStr"/>
    </row>
    <row r="88">
      <c r="A88" s="3" t="inlineStr">
        <is>
          <t>87</t>
        </is>
      </c>
      <c r="B88" s="3" t="inlineStr">
        <is>
          <t>NGS 260088</t>
        </is>
      </c>
      <c r="C88" s="4" t="n">
        <v>46091</v>
      </c>
      <c r="D88" s="3" t="inlineStr">
        <is>
          <t>March- 2026</t>
        </is>
      </c>
      <c r="E88" s="4" t="n">
        <v>46099</v>
      </c>
      <c r="F88" s="3" t="inlineStr">
        <is>
          <t>Mr.Priyank Mehta</t>
        </is>
      </c>
      <c r="G88" s="3" t="inlineStr">
        <is>
          <t>Suzuki R&amp;D Center</t>
        </is>
      </c>
      <c r="H88" s="3" t="inlineStr">
        <is>
          <t>Suzuki R&amp;D Center</t>
        </is>
      </c>
      <c r="I88" s="3" t="inlineStr">
        <is>
          <t>Priyank.Mehta@suzukirndindia.com</t>
        </is>
      </c>
      <c r="J88" s="3" t="inlineStr">
        <is>
          <t>9950423808</t>
        </is>
      </c>
      <c r="K88" s="3" t="inlineStr">
        <is>
          <t>16S V3-V4 Metagenome Sequencing &amp; Analysis On Illumina Platform</t>
        </is>
      </c>
      <c r="L88" s="3" t="inlineStr">
        <is>
          <t>Water</t>
        </is>
      </c>
      <c r="M88" s="3" t="inlineStr">
        <is>
          <t>16S V3-V4 Seq</t>
        </is>
      </c>
      <c r="N88" s="3" t="inlineStr">
        <is>
          <t>With Analysis</t>
        </is>
      </c>
      <c r="O88" s="3" t="n">
        <v>5</v>
      </c>
      <c r="P88" s="3" t="inlineStr">
        <is>
          <t>60,000-1,00,000 reads/sample</t>
        </is>
      </c>
      <c r="Q88" s="3" t="inlineStr"/>
      <c r="R88" s="3" t="n">
        <v>0</v>
      </c>
      <c r="S88" s="3" t="n">
        <v>8000</v>
      </c>
      <c r="T88" s="5" t="n">
        <v>40000</v>
      </c>
      <c r="U88" s="5" t="n">
        <v>7200</v>
      </c>
      <c r="V88" s="5" t="n">
        <v>47200</v>
      </c>
      <c r="W88" s="3" t="inlineStr">
        <is>
          <t>UG/NGS/TP/2504670</t>
        </is>
      </c>
      <c r="X88" s="3" t="inlineStr">
        <is>
          <t>Direct</t>
        </is>
      </c>
      <c r="Y88" s="3" t="inlineStr">
        <is>
          <t>West</t>
        </is>
      </c>
      <c r="Z88" s="3" t="inlineStr">
        <is>
          <t>Ahmedabad</t>
        </is>
      </c>
      <c r="AA88" s="3" t="n">
        <v>5</v>
      </c>
      <c r="AB88" s="3" t="n">
        <v>0</v>
      </c>
      <c r="AC88" s="4" t="n">
        <v>46113</v>
      </c>
      <c r="AD88" s="3" t="n">
        <v>14</v>
      </c>
      <c r="AE88" s="3" t="inlineStr"/>
      <c r="AF88" s="3" t="inlineStr"/>
      <c r="AG88" s="3" t="inlineStr"/>
      <c r="AH88" s="3" t="inlineStr"/>
      <c r="AI88" s="3" t="inlineStr"/>
      <c r="AJ88" s="3" t="inlineStr"/>
      <c r="AK88" s="5" t="n">
        <v>40000</v>
      </c>
      <c r="AL88" s="5" t="n">
        <v>7200</v>
      </c>
      <c r="AM88" s="5" t="n">
        <v>47200</v>
      </c>
      <c r="AN88" s="3" t="inlineStr"/>
      <c r="AO88" s="5" t="n">
        <v>0</v>
      </c>
      <c r="AP88" s="5" t="n">
        <v>-47200</v>
      </c>
      <c r="AQ88" s="3" t="inlineStr"/>
    </row>
    <row r="89">
      <c r="A89" s="3" t="inlineStr">
        <is>
          <t>88</t>
        </is>
      </c>
      <c r="B89" s="3" t="inlineStr">
        <is>
          <t>NGS 260089</t>
        </is>
      </c>
      <c r="C89" s="4" t="n">
        <v>46091</v>
      </c>
      <c r="D89" s="3" t="inlineStr">
        <is>
          <t>March- 2026</t>
        </is>
      </c>
      <c r="E89" s="4" t="n">
        <v>46091</v>
      </c>
      <c r="F89" s="3" t="inlineStr">
        <is>
          <t>Mr.Digil</t>
        </is>
      </c>
      <c r="G89" s="3" t="inlineStr">
        <is>
          <t>Geno Connect Services Private Limited</t>
        </is>
      </c>
      <c r="H89" s="3" t="inlineStr">
        <is>
          <t>Geno Connect Services Private Limited</t>
        </is>
      </c>
      <c r="I89" s="3" t="inlineStr">
        <is>
          <t>Genoconnect.pvt.ltd@gmail.com</t>
        </is>
      </c>
      <c r="J89" s="3" t="inlineStr">
        <is>
          <t>9400039514</t>
        </is>
      </c>
      <c r="K89" s="3" t="inlineStr">
        <is>
          <t>Low Pass Whole Genome Sequencing On Illumina Novaseq X Plus Platform</t>
        </is>
      </c>
      <c r="L89" s="3" t="inlineStr">
        <is>
          <t>Swab Samples</t>
        </is>
      </c>
      <c r="M89" s="3" t="inlineStr">
        <is>
          <t>Low Pass Wgs</t>
        </is>
      </c>
      <c r="N89" s="3" t="inlineStr">
        <is>
          <t xml:space="preserve">Without Analysis </t>
        </is>
      </c>
      <c r="O89" s="3" t="n">
        <v>2</v>
      </c>
      <c r="P89" s="3" t="inlineStr">
        <is>
          <t>3 GB/Sample</t>
        </is>
      </c>
      <c r="Q89" s="3" t="n">
        <v>3</v>
      </c>
      <c r="R89" s="3" t="n">
        <v>6</v>
      </c>
      <c r="S89" s="3" t="n">
        <v>3000</v>
      </c>
      <c r="T89" s="5" t="n">
        <v>6000</v>
      </c>
      <c r="U89" s="5" t="n">
        <v>1080</v>
      </c>
      <c r="V89" s="5" t="n">
        <v>7080</v>
      </c>
      <c r="W89" s="3" t="inlineStr">
        <is>
          <t>UG/NGS/TP/2512388R1</t>
        </is>
      </c>
      <c r="X89" s="3" t="inlineStr">
        <is>
          <t>Direct</t>
        </is>
      </c>
      <c r="Y89" s="3" t="inlineStr">
        <is>
          <t>South</t>
        </is>
      </c>
      <c r="Z89" s="3" t="inlineStr">
        <is>
          <t>N/A</t>
        </is>
      </c>
      <c r="AA89" s="3" t="n">
        <v>2</v>
      </c>
      <c r="AB89" s="3" t="n">
        <v>0</v>
      </c>
      <c r="AC89" s="4" t="n">
        <v>46093</v>
      </c>
      <c r="AD89" s="3" t="n">
        <v>2</v>
      </c>
      <c r="AE89" s="3" t="inlineStr">
        <is>
          <t>115</t>
        </is>
      </c>
      <c r="AF89" s="4" t="n">
        <v>46126</v>
      </c>
      <c r="AG89" s="3" t="inlineStr"/>
      <c r="AH89" s="3" t="inlineStr">
        <is>
          <t>UPL/GEN/2627/40</t>
        </is>
      </c>
      <c r="AI89" s="4" t="n">
        <v>46171</v>
      </c>
      <c r="AJ89" s="3" t="inlineStr">
        <is>
          <t xml:space="preserve"> Project Closure</t>
        </is>
      </c>
      <c r="AK89" s="5" t="n">
        <v>6000</v>
      </c>
      <c r="AL89" s="5" t="n">
        <v>1080</v>
      </c>
      <c r="AM89" s="5" t="n">
        <v>7080</v>
      </c>
      <c r="AN89" s="3" t="n">
        <v>48</v>
      </c>
      <c r="AO89" s="5" t="n">
        <v>7080</v>
      </c>
      <c r="AP89" s="5" t="n">
        <v>0</v>
      </c>
      <c r="AQ89" s="4" t="n">
        <v>46122</v>
      </c>
    </row>
    <row r="90">
      <c r="A90" s="3" t="inlineStr">
        <is>
          <t>89</t>
        </is>
      </c>
      <c r="B90" s="3" t="inlineStr">
        <is>
          <t>NGS 260090</t>
        </is>
      </c>
      <c r="C90" s="4" t="n">
        <v>46094</v>
      </c>
      <c r="D90" s="3" t="inlineStr">
        <is>
          <t>March- 2026</t>
        </is>
      </c>
      <c r="E90" s="4" t="n">
        <v>46147</v>
      </c>
      <c r="F90" s="3" t="inlineStr">
        <is>
          <t>Dr.Naveen Kumar V</t>
        </is>
      </c>
      <c r="G90" s="3" t="inlineStr">
        <is>
          <t>Immugenix Biosciences</t>
        </is>
      </c>
      <c r="H90" s="3" t="inlineStr">
        <is>
          <t>Immugenix Biosciences</t>
        </is>
      </c>
      <c r="I90" s="3" t="inlineStr">
        <is>
          <t>service@immugenixbio.com</t>
        </is>
      </c>
      <c r="J90" s="3" t="inlineStr">
        <is>
          <t>75300 92851</t>
        </is>
      </c>
      <c r="K90" s="3" t="inlineStr">
        <is>
          <t>Shotgun Metagenomics Sequencing On Illumina Novaseq X Plus Platform</t>
        </is>
      </c>
      <c r="L90" s="3" t="inlineStr">
        <is>
          <t>Cell Pellets</t>
        </is>
      </c>
      <c r="M90" s="3" t="inlineStr">
        <is>
          <t>Shotgun Metagenomics</t>
        </is>
      </c>
      <c r="N90" s="3" t="inlineStr">
        <is>
          <t xml:space="preserve">With Analysis </t>
        </is>
      </c>
      <c r="O90" s="3" t="n">
        <v>1</v>
      </c>
      <c r="P90" s="3" t="inlineStr">
        <is>
          <t>5-6 GB/ sample</t>
        </is>
      </c>
      <c r="Q90" s="3" t="n">
        <v>3</v>
      </c>
      <c r="R90" s="3" t="n">
        <v>3</v>
      </c>
      <c r="S90" s="3" t="n">
        <v>15000</v>
      </c>
      <c r="T90" s="5" t="n">
        <v>15000</v>
      </c>
      <c r="U90" s="5" t="n">
        <v>2700</v>
      </c>
      <c r="V90" s="5" t="n">
        <v>17700</v>
      </c>
      <c r="W90" s="3" t="inlineStr"/>
      <c r="X90" s="3" t="inlineStr">
        <is>
          <t>Pugalendhi</t>
        </is>
      </c>
      <c r="Y90" s="3" t="inlineStr">
        <is>
          <t>South</t>
        </is>
      </c>
      <c r="Z90" s="3" t="inlineStr">
        <is>
          <t>Chennai</t>
        </is>
      </c>
      <c r="AA90" s="3" t="n">
        <v>1</v>
      </c>
      <c r="AB90" s="3" t="n">
        <v>0</v>
      </c>
      <c r="AC90" s="4" t="n">
        <v>46147</v>
      </c>
      <c r="AD90" s="3" t="n">
        <v>0</v>
      </c>
      <c r="AE90" s="3" t="inlineStr">
        <is>
          <t>130 &amp; 132</t>
        </is>
      </c>
      <c r="AF90" s="3" t="inlineStr"/>
      <c r="AG90" s="3" t="inlineStr"/>
      <c r="AH90" s="3" t="inlineStr"/>
      <c r="AI90" s="3" t="inlineStr"/>
      <c r="AJ90" s="3" t="inlineStr"/>
      <c r="AK90" s="5" t="n">
        <v>15000</v>
      </c>
      <c r="AL90" s="5" t="n">
        <v>2700</v>
      </c>
      <c r="AM90" s="5" t="n">
        <v>17700</v>
      </c>
      <c r="AN90" s="3" t="inlineStr"/>
      <c r="AO90" s="5" t="n">
        <v>0</v>
      </c>
      <c r="AP90" s="5" t="n">
        <v>-17700</v>
      </c>
      <c r="AQ90" s="3" t="inlineStr"/>
    </row>
    <row r="91">
      <c r="A91" s="3" t="inlineStr">
        <is>
          <t>90</t>
        </is>
      </c>
      <c r="B91" s="3" t="inlineStr">
        <is>
          <t>NGS 260091</t>
        </is>
      </c>
      <c r="C91" s="4" t="n">
        <v>46094</v>
      </c>
      <c r="D91" s="3" t="inlineStr">
        <is>
          <t>March- 2026</t>
        </is>
      </c>
      <c r="E91" s="4" t="n">
        <v>46098</v>
      </c>
      <c r="F91" s="3" t="inlineStr">
        <is>
          <t>Dr.Naveen Kumar V</t>
        </is>
      </c>
      <c r="G91" s="3" t="inlineStr">
        <is>
          <t>Immugenix Biosciences</t>
        </is>
      </c>
      <c r="H91" s="3" t="inlineStr">
        <is>
          <t>Immugenix Biosciences</t>
        </is>
      </c>
      <c r="I91" s="3" t="inlineStr">
        <is>
          <t>service@immugenixbio.com</t>
        </is>
      </c>
      <c r="J91" s="3" t="inlineStr">
        <is>
          <t>75300 92851</t>
        </is>
      </c>
      <c r="K91" s="3" t="inlineStr">
        <is>
          <t>Whole Genome Sequencing &amp; Analysis Of Illumina Novaseq X Plus Platform</t>
        </is>
      </c>
      <c r="L91" s="3" t="inlineStr">
        <is>
          <t>Cell Pellets</t>
        </is>
      </c>
      <c r="M91" s="3" t="inlineStr">
        <is>
          <t>Wgs Seq</t>
        </is>
      </c>
      <c r="N91" s="3" t="inlineStr">
        <is>
          <t>With Analysis</t>
        </is>
      </c>
      <c r="O91" s="3" t="n">
        <v>3</v>
      </c>
      <c r="P91" s="3" t="inlineStr">
        <is>
          <t>1-2 GB /Sample</t>
        </is>
      </c>
      <c r="Q91" s="3" t="n">
        <v>2</v>
      </c>
      <c r="R91" s="3" t="n">
        <v>6</v>
      </c>
      <c r="S91" s="3" t="n">
        <v>12000</v>
      </c>
      <c r="T91" s="5" t="n">
        <v>36000</v>
      </c>
      <c r="U91" s="5" t="n">
        <v>6480</v>
      </c>
      <c r="V91" s="5" t="n">
        <v>42480</v>
      </c>
      <c r="W91" s="3" t="inlineStr">
        <is>
          <t>UG/NGS/TP/2601450R1</t>
        </is>
      </c>
      <c r="X91" s="3" t="inlineStr">
        <is>
          <t>Pugalendhi</t>
        </is>
      </c>
      <c r="Y91" s="3" t="inlineStr">
        <is>
          <t>South</t>
        </is>
      </c>
      <c r="Z91" s="3" t="inlineStr">
        <is>
          <t>Chennai</t>
        </is>
      </c>
      <c r="AA91" s="3" t="n">
        <v>3</v>
      </c>
      <c r="AB91" s="3" t="n">
        <v>0</v>
      </c>
      <c r="AC91" s="4" t="n">
        <v>46111</v>
      </c>
      <c r="AD91" s="3" t="n">
        <v>13</v>
      </c>
      <c r="AE91" s="3" t="inlineStr">
        <is>
          <t>117</t>
        </is>
      </c>
      <c r="AF91" s="3" t="inlineStr"/>
      <c r="AG91" s="4" t="n">
        <v>46147</v>
      </c>
      <c r="AH91" s="3" t="inlineStr"/>
      <c r="AI91" s="3" t="inlineStr"/>
      <c r="AJ91" s="3" t="inlineStr">
        <is>
          <t xml:space="preserve"> Project Closure</t>
        </is>
      </c>
      <c r="AK91" s="5" t="n">
        <v>36000</v>
      </c>
      <c r="AL91" s="5" t="n">
        <v>6480</v>
      </c>
      <c r="AM91" s="5" t="n">
        <v>42480</v>
      </c>
      <c r="AN91" s="3" t="n">
        <v>46219</v>
      </c>
      <c r="AO91" s="5" t="n">
        <v>0</v>
      </c>
      <c r="AP91" s="5" t="n">
        <v>-42480</v>
      </c>
      <c r="AQ91" s="3" t="inlineStr"/>
    </row>
    <row r="92">
      <c r="A92" s="3" t="inlineStr">
        <is>
          <t>91</t>
        </is>
      </c>
      <c r="B92" s="3" t="inlineStr">
        <is>
          <t>NGS 260092</t>
        </is>
      </c>
      <c r="C92" s="4" t="n">
        <v>46094</v>
      </c>
      <c r="D92" s="3" t="inlineStr">
        <is>
          <t>March- 2026</t>
        </is>
      </c>
      <c r="E92" s="4" t="n">
        <v>46097</v>
      </c>
      <c r="F92" s="3" t="inlineStr">
        <is>
          <t>Dr.Dilip Gore</t>
        </is>
      </c>
      <c r="G92" s="3" t="inlineStr">
        <is>
          <t>Econext Unit Of Saibiosystems Pvt Ltd</t>
        </is>
      </c>
      <c r="H92" s="3" t="inlineStr">
        <is>
          <t>Econext Unit Of Saibiosystems Pvt Ltd</t>
        </is>
      </c>
      <c r="I92" s="3" t="inlineStr">
        <is>
          <t xml:space="preserve">Saibiosystems@gmail.com </t>
        </is>
      </c>
      <c r="J92" s="3" t="inlineStr">
        <is>
          <t>9923694262</t>
        </is>
      </c>
      <c r="K92" s="3" t="inlineStr">
        <is>
          <t>Bacterial Whole Genome Sequencing &amp; Analysis On Illumina Novaseq X Plus Platform</t>
        </is>
      </c>
      <c r="L92" s="3" t="inlineStr">
        <is>
          <t>Cell Pellets</t>
        </is>
      </c>
      <c r="M92" s="3" t="inlineStr">
        <is>
          <t>Wgs Seq</t>
        </is>
      </c>
      <c r="N92" s="3" t="inlineStr">
        <is>
          <t>With Analysis</t>
        </is>
      </c>
      <c r="O92" s="3" t="n">
        <v>2</v>
      </c>
      <c r="P92" s="3" t="inlineStr">
        <is>
          <t>1 GB/Sample</t>
        </is>
      </c>
      <c r="Q92" s="3" t="n">
        <v>1</v>
      </c>
      <c r="R92" s="3" t="n">
        <v>1</v>
      </c>
      <c r="S92" s="3" t="n">
        <v>11000</v>
      </c>
      <c r="T92" s="5" t="n">
        <v>22000</v>
      </c>
      <c r="U92" s="5" t="n">
        <v>3960</v>
      </c>
      <c r="V92" s="5" t="n">
        <v>25960</v>
      </c>
      <c r="W92" s="3" t="inlineStr">
        <is>
          <t>UG/NGS/TP/2602561</t>
        </is>
      </c>
      <c r="X92" s="3" t="inlineStr">
        <is>
          <t>Purushottam</t>
        </is>
      </c>
      <c r="Y92" s="3" t="inlineStr">
        <is>
          <t>West</t>
        </is>
      </c>
      <c r="Z92" s="3" t="inlineStr">
        <is>
          <t>Nagpur</t>
        </is>
      </c>
      <c r="AA92" s="3" t="n">
        <v>2</v>
      </c>
      <c r="AB92" s="3" t="n">
        <v>0</v>
      </c>
      <c r="AC92" s="4" t="n">
        <v>46111</v>
      </c>
      <c r="AD92" s="3" t="n">
        <v>14</v>
      </c>
      <c r="AE92" s="3" t="inlineStr">
        <is>
          <t>117</t>
        </is>
      </c>
      <c r="AF92" s="3" t="inlineStr"/>
      <c r="AG92" s="4" t="n">
        <v>46161</v>
      </c>
      <c r="AH92" s="3" t="inlineStr">
        <is>
          <t>UPL/GEN/2627/46</t>
        </is>
      </c>
      <c r="AI92" s="4" t="n">
        <v>46178</v>
      </c>
      <c r="AJ92" s="3" t="inlineStr">
        <is>
          <t xml:space="preserve"> Project Closure</t>
        </is>
      </c>
      <c r="AK92" s="5" t="n">
        <v>22000</v>
      </c>
      <c r="AL92" s="5" t="n">
        <v>3960</v>
      </c>
      <c r="AM92" s="5" t="n">
        <v>25960</v>
      </c>
      <c r="AN92" s="3" t="n">
        <v>41</v>
      </c>
      <c r="AO92" s="5" t="n">
        <v>25960</v>
      </c>
      <c r="AP92" s="5" t="n">
        <v>0</v>
      </c>
      <c r="AQ92" s="3" t="inlineStr"/>
    </row>
    <row r="93">
      <c r="A93" s="3" t="inlineStr">
        <is>
          <t>92</t>
        </is>
      </c>
      <c r="B93" s="3" t="inlineStr">
        <is>
          <t>NGS 260093</t>
        </is>
      </c>
      <c r="C93" s="4" t="n">
        <v>46095</v>
      </c>
      <c r="D93" s="3" t="inlineStr">
        <is>
          <t>March- 2026</t>
        </is>
      </c>
      <c r="E93" s="4" t="n">
        <v>46098</v>
      </c>
      <c r="F93" s="3" t="inlineStr">
        <is>
          <t>Dr. Saran Kumar</t>
        </is>
      </c>
      <c r="G93" s="3" t="inlineStr">
        <is>
          <t>IIT-D</t>
        </is>
      </c>
      <c r="H93" s="3" t="inlineStr">
        <is>
          <t>IIT-D</t>
        </is>
      </c>
      <c r="I93" s="3" t="inlineStr">
        <is>
          <t>ksaran@iitd.ac.in</t>
        </is>
      </c>
      <c r="J93" s="3" t="inlineStr">
        <is>
          <t>9483830041</t>
        </is>
      </c>
      <c r="K93" s="3" t="inlineStr">
        <is>
          <t>Whole Exome Sequencing On Illumina Novaseq X Plus Platform</t>
        </is>
      </c>
      <c r="L93" s="3" t="inlineStr">
        <is>
          <t>Tissue</t>
        </is>
      </c>
      <c r="M93" s="3" t="inlineStr">
        <is>
          <t>Wes Seq</t>
        </is>
      </c>
      <c r="N93" s="3" t="inlineStr">
        <is>
          <t>Without Analysis</t>
        </is>
      </c>
      <c r="O93" s="3" t="n">
        <v>8</v>
      </c>
      <c r="P93" s="3" t="inlineStr">
        <is>
          <t>8 -10 Gb /Sample</t>
        </is>
      </c>
      <c r="Q93" s="3" t="n">
        <v>10</v>
      </c>
      <c r="R93" s="3" t="n">
        <v>1</v>
      </c>
      <c r="S93" s="3" t="n">
        <v>8000</v>
      </c>
      <c r="T93" s="5" t="n">
        <v>64000</v>
      </c>
      <c r="U93" s="5" t="n">
        <v>11520</v>
      </c>
      <c r="V93" s="5" t="n">
        <v>75520</v>
      </c>
      <c r="W93" s="3" t="inlineStr"/>
      <c r="X93" s="3" t="inlineStr">
        <is>
          <t xml:space="preserve">Harsh </t>
        </is>
      </c>
      <c r="Y93" s="3" t="inlineStr">
        <is>
          <t>Delhi</t>
        </is>
      </c>
      <c r="Z93" s="3" t="inlineStr">
        <is>
          <t>New Delhi</t>
        </is>
      </c>
      <c r="AA93" s="3" t="n">
        <v>8</v>
      </c>
      <c r="AB93" s="3" t="n">
        <v>0</v>
      </c>
      <c r="AC93" s="4" t="n">
        <v>46113</v>
      </c>
      <c r="AD93" s="3" t="n">
        <v>15</v>
      </c>
      <c r="AE93" s="3" t="inlineStr">
        <is>
          <t>115 &amp; 116</t>
        </is>
      </c>
      <c r="AF93" s="4" t="n">
        <v>46120</v>
      </c>
      <c r="AG93" s="3" t="inlineStr"/>
      <c r="AH93" s="3" t="inlineStr">
        <is>
          <t>UPL/GEN/2627/05</t>
        </is>
      </c>
      <c r="AI93" s="4" t="n">
        <v>46119</v>
      </c>
      <c r="AJ93" s="3" t="inlineStr">
        <is>
          <t xml:space="preserve"> Project Closure</t>
        </is>
      </c>
      <c r="AK93" s="5" t="n">
        <v>64000</v>
      </c>
      <c r="AL93" s="5" t="n">
        <v>11520</v>
      </c>
      <c r="AM93" s="5" t="n">
        <v>75520</v>
      </c>
      <c r="AN93" s="3" t="n">
        <v>100</v>
      </c>
      <c r="AO93" s="5" t="n">
        <v>75520</v>
      </c>
      <c r="AP93" s="5" t="n">
        <v>0</v>
      </c>
      <c r="AQ93" s="3" t="inlineStr"/>
    </row>
    <row r="94">
      <c r="A94" s="3" t="inlineStr">
        <is>
          <t>93</t>
        </is>
      </c>
      <c r="B94" s="3" t="inlineStr">
        <is>
          <t>NGS 260094</t>
        </is>
      </c>
      <c r="C94" s="4" t="n">
        <v>46095</v>
      </c>
      <c r="D94" s="3" t="inlineStr">
        <is>
          <t>March- 2026</t>
        </is>
      </c>
      <c r="E94" s="4" t="n">
        <v>46098</v>
      </c>
      <c r="F94" s="3" t="inlineStr">
        <is>
          <t>Dr. Saran Kumar</t>
        </is>
      </c>
      <c r="G94" s="3" t="inlineStr">
        <is>
          <t>IIT-D</t>
        </is>
      </c>
      <c r="H94" s="3" t="inlineStr">
        <is>
          <t>IIT-D</t>
        </is>
      </c>
      <c r="I94" s="3" t="inlineStr">
        <is>
          <t>ksaran@iitd.ac.in</t>
        </is>
      </c>
      <c r="J94" s="3" t="inlineStr">
        <is>
          <t>9483830041</t>
        </is>
      </c>
      <c r="K94" s="3" t="inlineStr">
        <is>
          <t>Whole Transcriptome Sequencing &amp; Analysis On Illumina Platform</t>
        </is>
      </c>
      <c r="L94" s="3" t="inlineStr">
        <is>
          <t>Samples Are In Trizol</t>
        </is>
      </c>
      <c r="M94" s="3" t="inlineStr">
        <is>
          <t>Wts Seq</t>
        </is>
      </c>
      <c r="N94" s="3" t="inlineStr">
        <is>
          <t>Without Analysis</t>
        </is>
      </c>
      <c r="O94" s="3" t="n">
        <v>6</v>
      </c>
      <c r="P94" s="3" t="inlineStr">
        <is>
          <t>50 million read /sample (15 Gb/Sample)</t>
        </is>
      </c>
      <c r="Q94" s="3" t="n">
        <v>15</v>
      </c>
      <c r="R94" s="3" t="n">
        <v>90</v>
      </c>
      <c r="S94" s="3" t="n">
        <v>12460</v>
      </c>
      <c r="T94" s="5" t="n">
        <v>74760</v>
      </c>
      <c r="U94" s="5" t="n">
        <v>13456.8</v>
      </c>
      <c r="V94" s="5" t="n">
        <v>88216.8</v>
      </c>
      <c r="W94" s="3" t="inlineStr"/>
      <c r="X94" s="3" t="inlineStr">
        <is>
          <t xml:space="preserve">Harsh </t>
        </is>
      </c>
      <c r="Y94" s="3" t="inlineStr">
        <is>
          <t>Delhi</t>
        </is>
      </c>
      <c r="Z94" s="3" t="inlineStr">
        <is>
          <t>New Delhi</t>
        </is>
      </c>
      <c r="AA94" s="3" t="n">
        <v>6</v>
      </c>
      <c r="AB94" s="3" t="n">
        <v>0</v>
      </c>
      <c r="AC94" s="4" t="n">
        <v>46104</v>
      </c>
      <c r="AD94" s="3" t="n">
        <v>6</v>
      </c>
      <c r="AE94" s="3" t="inlineStr">
        <is>
          <t>116 &amp; 117</t>
        </is>
      </c>
      <c r="AF94" s="4" t="n">
        <v>46135</v>
      </c>
      <c r="AG94" s="3" t="inlineStr"/>
      <c r="AH94" s="3" t="inlineStr">
        <is>
          <t>UPL/GEN/2627/06</t>
        </is>
      </c>
      <c r="AI94" s="3" t="inlineStr"/>
      <c r="AJ94" s="3" t="inlineStr">
        <is>
          <t xml:space="preserve"> Project Closure</t>
        </is>
      </c>
      <c r="AK94" s="5" t="n">
        <v>74760</v>
      </c>
      <c r="AL94" s="5" t="n">
        <v>13456.8</v>
      </c>
      <c r="AM94" s="5" t="n">
        <v>88216.8</v>
      </c>
      <c r="AN94" s="3" t="n">
        <v>46219</v>
      </c>
      <c r="AO94" s="5" t="n">
        <v>88217</v>
      </c>
      <c r="AP94" s="5" t="n">
        <v>0.1999999999970896</v>
      </c>
      <c r="AQ94" s="3" t="inlineStr"/>
    </row>
    <row r="95">
      <c r="A95" s="3" t="inlineStr">
        <is>
          <t>94</t>
        </is>
      </c>
      <c r="B95" s="3" t="inlineStr">
        <is>
          <t>NGS 260095</t>
        </is>
      </c>
      <c r="C95" s="4" t="n">
        <v>46095</v>
      </c>
      <c r="D95" s="3" t="inlineStr">
        <is>
          <t>March- 2026</t>
        </is>
      </c>
      <c r="E95" s="4" t="n">
        <v>46098</v>
      </c>
      <c r="F95" s="3" t="inlineStr">
        <is>
          <t>Dr. Saran Kumar</t>
        </is>
      </c>
      <c r="G95" s="3" t="inlineStr">
        <is>
          <t>IIT-D</t>
        </is>
      </c>
      <c r="H95" s="3" t="inlineStr">
        <is>
          <t>IIT-D</t>
        </is>
      </c>
      <c r="I95" s="3" t="inlineStr">
        <is>
          <t>ksaran@iitd.ac.in</t>
        </is>
      </c>
      <c r="J95" s="3" t="inlineStr">
        <is>
          <t>9483830041</t>
        </is>
      </c>
      <c r="K95" s="3" t="inlineStr">
        <is>
          <t>Whole Transcriptome Sequencing &amp; Analysis On Illumina Platform</t>
        </is>
      </c>
      <c r="L95" s="3" t="inlineStr">
        <is>
          <t>Samples Are In Trizol</t>
        </is>
      </c>
      <c r="M95" s="3" t="inlineStr">
        <is>
          <t>Wts Seq</t>
        </is>
      </c>
      <c r="N95" s="3" t="inlineStr">
        <is>
          <t>Without Analysis</t>
        </is>
      </c>
      <c r="O95" s="3" t="n">
        <v>8</v>
      </c>
      <c r="P95" s="3" t="inlineStr">
        <is>
          <t>50 million read /sample (15 Gb/Sample)</t>
        </is>
      </c>
      <c r="Q95" s="3" t="n">
        <v>15</v>
      </c>
      <c r="R95" s="3" t="n">
        <v>120</v>
      </c>
      <c r="S95" s="3" t="n">
        <v>14500</v>
      </c>
      <c r="T95" s="5" t="n">
        <v>116000</v>
      </c>
      <c r="U95" s="5" t="n">
        <v>20880</v>
      </c>
      <c r="V95" s="5" t="n">
        <v>136880</v>
      </c>
      <c r="W95" s="3" t="inlineStr"/>
      <c r="X95" s="3" t="inlineStr">
        <is>
          <t xml:space="preserve">Harsh </t>
        </is>
      </c>
      <c r="Y95" s="3" t="inlineStr">
        <is>
          <t>Delhi</t>
        </is>
      </c>
      <c r="Z95" s="3" t="inlineStr">
        <is>
          <t>New Delhi</t>
        </is>
      </c>
      <c r="AA95" s="3" t="n">
        <v>0</v>
      </c>
      <c r="AB95" s="3" t="n">
        <v>8</v>
      </c>
      <c r="AC95" s="4" t="n">
        <v>46112</v>
      </c>
      <c r="AD95" s="3" t="n">
        <v>14</v>
      </c>
      <c r="AE95" s="3" t="inlineStr"/>
      <c r="AF95" s="3" t="inlineStr"/>
      <c r="AG95" s="3" t="inlineStr"/>
      <c r="AH95" s="3" t="inlineStr"/>
      <c r="AI95" s="3" t="inlineStr"/>
      <c r="AJ95" s="3" t="inlineStr">
        <is>
          <t>QC Fail</t>
        </is>
      </c>
      <c r="AK95" s="5" t="n">
        <v>0</v>
      </c>
      <c r="AL95" s="5" t="n">
        <v>0</v>
      </c>
      <c r="AM95" s="5" t="n">
        <v>0</v>
      </c>
      <c r="AN95" s="3" t="inlineStr"/>
      <c r="AO95" s="5" t="n">
        <v>0</v>
      </c>
      <c r="AP95" s="5" t="n">
        <v>0</v>
      </c>
      <c r="AQ95" s="3" t="inlineStr"/>
    </row>
    <row r="96">
      <c r="A96" s="3" t="inlineStr">
        <is>
          <t>95</t>
        </is>
      </c>
      <c r="B96" s="3" t="inlineStr">
        <is>
          <t>NGS 260096</t>
        </is>
      </c>
      <c r="C96" s="4" t="n">
        <v>46095</v>
      </c>
      <c r="D96" s="3" t="inlineStr">
        <is>
          <t>March- 2026</t>
        </is>
      </c>
      <c r="E96" s="4" t="n">
        <v>46097</v>
      </c>
      <c r="F96" s="3" t="inlineStr">
        <is>
          <t>Dr. Mukesh</t>
        </is>
      </c>
      <c r="G96" s="3" t="inlineStr">
        <is>
          <t>ICAR-Iisr Kozhikode</t>
        </is>
      </c>
      <c r="H96" s="3" t="inlineStr">
        <is>
          <t>ICAR-Iisr Kozhikode</t>
        </is>
      </c>
      <c r="I96" s="3" t="inlineStr">
        <is>
          <t>mukesh.genetics@gmail.com</t>
        </is>
      </c>
      <c r="J96" s="3" t="inlineStr">
        <is>
          <t>994633872/ 95550458</t>
        </is>
      </c>
      <c r="K96" s="3" t="inlineStr">
        <is>
          <t>Low Coverage Whole Resequencing Of Ginger Genotypes</t>
        </is>
      </c>
      <c r="L96" s="3" t="inlineStr">
        <is>
          <t>Leaf</t>
        </is>
      </c>
      <c r="M96" s="3" t="inlineStr">
        <is>
          <t>Low Wgs</t>
        </is>
      </c>
      <c r="N96" s="3" t="inlineStr">
        <is>
          <t xml:space="preserve">Without Analysis </t>
        </is>
      </c>
      <c r="O96" s="3" t="n">
        <v>100</v>
      </c>
      <c r="P96" s="3" t="inlineStr">
        <is>
          <t>30 GB/Sample(10X)</t>
        </is>
      </c>
      <c r="Q96" s="3" t="n">
        <v>30</v>
      </c>
      <c r="R96" s="3" t="n">
        <v>3000</v>
      </c>
      <c r="S96" s="3" t="n">
        <v>14990</v>
      </c>
      <c r="T96" s="5" t="n">
        <v>1499000</v>
      </c>
      <c r="U96" s="5" t="n">
        <v>269820</v>
      </c>
      <c r="V96" s="5" t="n">
        <v>1768820</v>
      </c>
      <c r="W96" s="3" t="inlineStr">
        <is>
          <t>GEMC-511687766691548</t>
        </is>
      </c>
      <c r="X96" s="3" t="inlineStr">
        <is>
          <t xml:space="preserve">Theertha </t>
        </is>
      </c>
      <c r="Y96" s="3" t="inlineStr">
        <is>
          <t>South</t>
        </is>
      </c>
      <c r="Z96" s="3" t="inlineStr">
        <is>
          <t>Kozhikode</t>
        </is>
      </c>
      <c r="AA96" s="3" t="n">
        <v>100</v>
      </c>
      <c r="AB96" s="3" t="n">
        <v>0</v>
      </c>
      <c r="AC96" s="4" t="n">
        <v>46107</v>
      </c>
      <c r="AD96" s="3" t="n">
        <v>10</v>
      </c>
      <c r="AE96" s="3" t="inlineStr">
        <is>
          <t>116 &amp; 117</t>
        </is>
      </c>
      <c r="AF96" s="4" t="n">
        <v>46140</v>
      </c>
      <c r="AG96" s="3" t="inlineStr"/>
      <c r="AH96" s="3" t="inlineStr">
        <is>
          <t>UPL/GEN/383/2526</t>
        </is>
      </c>
      <c r="AI96" s="3" t="inlineStr"/>
      <c r="AJ96" s="3" t="inlineStr">
        <is>
          <t xml:space="preserve"> Project Closure</t>
        </is>
      </c>
      <c r="AK96" s="5" t="n">
        <v>1499000</v>
      </c>
      <c r="AL96" s="5" t="n">
        <v>269820</v>
      </c>
      <c r="AM96" s="5" t="n">
        <v>1768820</v>
      </c>
      <c r="AN96" s="3" t="n">
        <v>46219</v>
      </c>
      <c r="AO96" s="5" t="n">
        <v>795969</v>
      </c>
      <c r="AP96" s="5" t="n">
        <v>-972851</v>
      </c>
      <c r="AQ96" s="3" t="inlineStr"/>
    </row>
    <row r="97">
      <c r="A97" s="3" t="inlineStr">
        <is>
          <t>96</t>
        </is>
      </c>
      <c r="B97" s="3" t="inlineStr">
        <is>
          <t>NGS 260097</t>
        </is>
      </c>
      <c r="C97" s="4" t="n">
        <v>46097</v>
      </c>
      <c r="D97" s="3" t="inlineStr">
        <is>
          <t>March- 2026</t>
        </is>
      </c>
      <c r="E97" s="4" t="n">
        <v>46098</v>
      </c>
      <c r="F97" s="3" t="inlineStr">
        <is>
          <t>Dr. B.P. Urade</t>
        </is>
      </c>
      <c r="G97" s="3" t="inlineStr">
        <is>
          <t>Anthropological Survey Of India</t>
        </is>
      </c>
      <c r="H97" s="3" t="inlineStr">
        <is>
          <t>Anthropological Survey Of India</t>
        </is>
      </c>
      <c r="I97" s="3" t="inlineStr">
        <is>
          <t>ansigutmicrobiomedataaccess@gmail.com</t>
        </is>
      </c>
      <c r="J97" s="3" t="inlineStr">
        <is>
          <t>9881739563</t>
        </is>
      </c>
      <c r="K97" s="3" t="inlineStr">
        <is>
          <t>Shotgun Metagenomics Sequencing On Illumina Novaseq X Plus Platform</t>
        </is>
      </c>
      <c r="L97" s="3" t="inlineStr">
        <is>
          <t>DNA</t>
        </is>
      </c>
      <c r="M97" s="3" t="inlineStr">
        <is>
          <t>Shotgun</t>
        </is>
      </c>
      <c r="N97" s="3" t="inlineStr">
        <is>
          <t>Without Analysis</t>
        </is>
      </c>
      <c r="O97" s="3" t="n">
        <v>77</v>
      </c>
      <c r="P97" s="3" t="inlineStr">
        <is>
          <t>5 GB/sample</t>
        </is>
      </c>
      <c r="Q97" s="3" t="n">
        <v>5</v>
      </c>
      <c r="R97" s="3" t="n">
        <v>385</v>
      </c>
      <c r="S97" s="3" t="n">
        <v>3535</v>
      </c>
      <c r="T97" s="5" t="n">
        <v>272195</v>
      </c>
      <c r="U97" s="5" t="n">
        <v>48995.1</v>
      </c>
      <c r="V97" s="5" t="n">
        <v>321190.1</v>
      </c>
      <c r="W97" s="3" t="inlineStr">
        <is>
          <t>GEMC-511687721709339</t>
        </is>
      </c>
      <c r="X97" s="3" t="inlineStr">
        <is>
          <t>Direct</t>
        </is>
      </c>
      <c r="Y97" s="3" t="inlineStr">
        <is>
          <t>East</t>
        </is>
      </c>
      <c r="Z97" s="3" t="inlineStr">
        <is>
          <t>Kolkatta</t>
        </is>
      </c>
      <c r="AA97" s="3" t="n">
        <v>77</v>
      </c>
      <c r="AB97" s="3" t="n">
        <v>0</v>
      </c>
      <c r="AC97" s="4" t="n">
        <v>46107</v>
      </c>
      <c r="AD97" s="3" t="n">
        <v>9</v>
      </c>
      <c r="AE97" s="3" t="inlineStr">
        <is>
          <t>115 &amp; 116 (3 samples Data less (Leb side project close ))</t>
        </is>
      </c>
      <c r="AF97" s="4" t="n">
        <v>46135</v>
      </c>
      <c r="AG97" s="3" t="inlineStr"/>
      <c r="AH97" s="3" t="inlineStr">
        <is>
          <t>UPL/GEN/405/2526</t>
        </is>
      </c>
      <c r="AI97" s="4" t="n">
        <v>46108</v>
      </c>
      <c r="AJ97" s="3" t="inlineStr">
        <is>
          <t xml:space="preserve"> Project Closure</t>
        </is>
      </c>
      <c r="AK97" s="5" t="n">
        <v>272195</v>
      </c>
      <c r="AL97" s="5" t="n">
        <v>48995.1</v>
      </c>
      <c r="AM97" s="5" t="n">
        <v>321190.1</v>
      </c>
      <c r="AN97" s="3" t="n">
        <v>111</v>
      </c>
      <c r="AO97" s="5" t="n">
        <v>321190</v>
      </c>
      <c r="AP97" s="5" t="n">
        <v>-0.09999999997671689</v>
      </c>
      <c r="AQ97" s="4" t="n">
        <v>46112</v>
      </c>
    </row>
    <row r="98">
      <c r="A98" s="3" t="inlineStr">
        <is>
          <t>97</t>
        </is>
      </c>
      <c r="B98" s="3" t="inlineStr">
        <is>
          <t>NGS 260098</t>
        </is>
      </c>
      <c r="C98" s="4" t="n">
        <v>46097</v>
      </c>
      <c r="D98" s="3" t="inlineStr">
        <is>
          <t>March- 2026</t>
        </is>
      </c>
      <c r="E98" s="4" t="n">
        <v>46100</v>
      </c>
      <c r="F98" s="3" t="inlineStr">
        <is>
          <t>Mr.Priyank Mehta</t>
        </is>
      </c>
      <c r="G98" s="3" t="inlineStr">
        <is>
          <t>Suzuki R&amp;D Center</t>
        </is>
      </c>
      <c r="H98" s="3" t="inlineStr">
        <is>
          <t>Suzuki R&amp;D Center</t>
        </is>
      </c>
      <c r="I98" s="3" t="inlineStr">
        <is>
          <t>Priyank.Mehta@suzukirndindia.com</t>
        </is>
      </c>
      <c r="J98" s="3" t="inlineStr">
        <is>
          <t>9950423808</t>
        </is>
      </c>
      <c r="K98" s="3" t="inlineStr">
        <is>
          <t>16S V3-V4 Metagenome Sequencing &amp; Analysis On Illumina Platform</t>
        </is>
      </c>
      <c r="L98" s="3" t="inlineStr">
        <is>
          <t>Water</t>
        </is>
      </c>
      <c r="M98" s="3" t="inlineStr">
        <is>
          <t>16S V3-V4 Seq</t>
        </is>
      </c>
      <c r="N98" s="3" t="inlineStr">
        <is>
          <t>With Analysis</t>
        </is>
      </c>
      <c r="O98" s="3" t="n">
        <v>2</v>
      </c>
      <c r="P98" s="3" t="inlineStr">
        <is>
          <t>60,000-1,00,000 reads/sample</t>
        </is>
      </c>
      <c r="Q98" s="3" t="inlineStr"/>
      <c r="R98" s="3" t="n">
        <v>0</v>
      </c>
      <c r="S98" s="3" t="n">
        <v>8000</v>
      </c>
      <c r="T98" s="5" t="n">
        <v>16000</v>
      </c>
      <c r="U98" s="5" t="n">
        <v>2880</v>
      </c>
      <c r="V98" s="5" t="n">
        <v>18880</v>
      </c>
      <c r="W98" s="3" t="inlineStr">
        <is>
          <t>UG/NGS/TP/2504670</t>
        </is>
      </c>
      <c r="X98" s="3" t="inlineStr">
        <is>
          <t>Direct</t>
        </is>
      </c>
      <c r="Y98" s="3" t="inlineStr">
        <is>
          <t>West</t>
        </is>
      </c>
      <c r="Z98" s="3" t="inlineStr">
        <is>
          <t>Ahmedabad</t>
        </is>
      </c>
      <c r="AA98" s="3" t="n">
        <v>0</v>
      </c>
      <c r="AB98" s="3" t="n">
        <v>2</v>
      </c>
      <c r="AC98" s="4" t="n">
        <v>46113</v>
      </c>
      <c r="AD98" s="3" t="n">
        <v>13</v>
      </c>
      <c r="AE98" s="3" t="inlineStr"/>
      <c r="AF98" s="3" t="inlineStr"/>
      <c r="AG98" s="3" t="inlineStr"/>
      <c r="AH98" s="3" t="inlineStr"/>
      <c r="AI98" s="3" t="inlineStr"/>
      <c r="AJ98" s="3" t="inlineStr">
        <is>
          <t>QC Fail</t>
        </is>
      </c>
      <c r="AK98" s="5" t="n">
        <v>0</v>
      </c>
      <c r="AL98" s="5" t="n">
        <v>0</v>
      </c>
      <c r="AM98" s="5" t="n">
        <v>0</v>
      </c>
      <c r="AN98" s="3" t="inlineStr"/>
      <c r="AO98" s="5" t="n">
        <v>0</v>
      </c>
      <c r="AP98" s="5" t="n">
        <v>0</v>
      </c>
      <c r="AQ98" s="3" t="inlineStr"/>
    </row>
    <row r="99">
      <c r="A99" s="3" t="inlineStr">
        <is>
          <t>98</t>
        </is>
      </c>
      <c r="B99" s="3" t="inlineStr">
        <is>
          <t>NGS 260099</t>
        </is>
      </c>
      <c r="C99" s="4" t="n">
        <v>46098</v>
      </c>
      <c r="D99" s="3" t="inlineStr">
        <is>
          <t>March- 2026</t>
        </is>
      </c>
      <c r="E99" s="4" t="n">
        <v>46098</v>
      </c>
      <c r="F99" s="3" t="inlineStr">
        <is>
          <t>Dr.Jyoti Devi</t>
        </is>
      </c>
      <c r="G99" s="3" t="inlineStr">
        <is>
          <t>ICAR-Iivr, Varanasi</t>
        </is>
      </c>
      <c r="H99" s="3" t="inlineStr">
        <is>
          <t>ICAR-Iivr, Varanasi</t>
        </is>
      </c>
      <c r="I99" s="3" t="inlineStr">
        <is>
          <t>jyoti17iivr@gmail.com</t>
        </is>
      </c>
      <c r="J99" s="3" t="inlineStr">
        <is>
          <t>8219575859</t>
        </is>
      </c>
      <c r="K99" s="3" t="inlineStr">
        <is>
          <t>Low Pass Whole Genome Sequencing &amp; Analysis On Illumina Novaseq X Plus Platform</t>
        </is>
      </c>
      <c r="L99" s="3" t="inlineStr">
        <is>
          <t>Leaf</t>
        </is>
      </c>
      <c r="M99" s="3" t="inlineStr">
        <is>
          <t>Low Wgs</t>
        </is>
      </c>
      <c r="N99" s="3" t="inlineStr">
        <is>
          <t>With Analysis</t>
        </is>
      </c>
      <c r="O99" s="3" t="n">
        <v>10</v>
      </c>
      <c r="P99" s="3" t="inlineStr">
        <is>
          <t>20 Gb /Sample</t>
        </is>
      </c>
      <c r="Q99" s="3" t="n">
        <v>20</v>
      </c>
      <c r="R99" s="3" t="n">
        <v>200</v>
      </c>
      <c r="S99" s="3" t="inlineStr"/>
      <c r="T99" s="5" t="n">
        <v>168930</v>
      </c>
      <c r="U99" s="5" t="n">
        <v>30407.4</v>
      </c>
      <c r="V99" s="5" t="n">
        <v>199337.4</v>
      </c>
      <c r="W99" s="3" t="inlineStr">
        <is>
          <t>UG/NGS/TP/2602513R1</t>
        </is>
      </c>
      <c r="X99" s="3" t="inlineStr">
        <is>
          <t xml:space="preserve">Harsh </t>
        </is>
      </c>
      <c r="Y99" s="3" t="inlineStr">
        <is>
          <t>North</t>
        </is>
      </c>
      <c r="Z99" s="3" t="inlineStr">
        <is>
          <t>Varanasi</t>
        </is>
      </c>
      <c r="AA99" s="3" t="n">
        <v>10</v>
      </c>
      <c r="AB99" s="3" t="n">
        <v>0</v>
      </c>
      <c r="AC99" s="4" t="n">
        <v>46101</v>
      </c>
      <c r="AD99" s="3" t="n">
        <v>3</v>
      </c>
      <c r="AE99" s="3" t="inlineStr"/>
      <c r="AF99" s="3" t="inlineStr"/>
      <c r="AG99" s="3" t="inlineStr"/>
      <c r="AH99" s="3" t="inlineStr">
        <is>
          <t>UPL/GEN/371/2526</t>
        </is>
      </c>
      <c r="AI99" s="3" t="inlineStr"/>
      <c r="AJ99" s="3" t="inlineStr"/>
      <c r="AK99" s="5" t="n">
        <v>0</v>
      </c>
      <c r="AL99" s="5" t="n">
        <v>0</v>
      </c>
      <c r="AM99" s="5" t="n">
        <v>0</v>
      </c>
      <c r="AN99" s="3" t="inlineStr"/>
      <c r="AO99" s="5" t="n">
        <v>0</v>
      </c>
      <c r="AP99" s="5" t="n">
        <v>0</v>
      </c>
      <c r="AQ99" s="3" t="inlineStr"/>
    </row>
    <row r="100">
      <c r="A100" s="3" t="inlineStr">
        <is>
          <t>99</t>
        </is>
      </c>
      <c r="B100" s="3" t="inlineStr">
        <is>
          <t>NGS 260100</t>
        </is>
      </c>
      <c r="C100" s="4" t="n">
        <v>46098</v>
      </c>
      <c r="D100" s="3" t="inlineStr">
        <is>
          <t>March- 2026</t>
        </is>
      </c>
      <c r="E100" s="4" t="n">
        <v>46098</v>
      </c>
      <c r="F100" s="3" t="inlineStr">
        <is>
          <t>Dr.Jyoti Devi</t>
        </is>
      </c>
      <c r="G100" s="3" t="inlineStr">
        <is>
          <t>ICAR-Iivr, Varanasi</t>
        </is>
      </c>
      <c r="H100" s="3" t="inlineStr">
        <is>
          <t>ICAR-Iivr, Varanasi</t>
        </is>
      </c>
      <c r="I100" s="3" t="inlineStr">
        <is>
          <t>jyoti17iivr@gmail.com</t>
        </is>
      </c>
      <c r="J100" s="3" t="inlineStr">
        <is>
          <t>8219575859</t>
        </is>
      </c>
      <c r="K100" s="3" t="inlineStr">
        <is>
          <t>Low Pass Whole Genome Sequencing &amp; Analysis On Illumina Novaseq X Plus Platform</t>
        </is>
      </c>
      <c r="L100" s="3" t="inlineStr">
        <is>
          <t>Leaf</t>
        </is>
      </c>
      <c r="M100" s="3" t="inlineStr">
        <is>
          <t>Low Wgs</t>
        </is>
      </c>
      <c r="N100" s="3" t="inlineStr">
        <is>
          <t>With Analysis</t>
        </is>
      </c>
      <c r="O100" s="3" t="n">
        <v>3</v>
      </c>
      <c r="P100" s="3" t="inlineStr">
        <is>
          <t>10 Gb /Sample</t>
        </is>
      </c>
      <c r="Q100" s="3" t="n">
        <v>10</v>
      </c>
      <c r="R100" s="3" t="n">
        <v>30</v>
      </c>
      <c r="S100" s="3" t="n">
        <v>0</v>
      </c>
      <c r="T100" s="5" t="n">
        <v>0</v>
      </c>
      <c r="U100" s="5" t="n">
        <v>0</v>
      </c>
      <c r="V100" s="5" t="n">
        <v>0</v>
      </c>
      <c r="W100" s="3" t="inlineStr">
        <is>
          <t>UG/NGS/TP/2602513R1</t>
        </is>
      </c>
      <c r="X100" s="3" t="inlineStr">
        <is>
          <t xml:space="preserve">Harsh </t>
        </is>
      </c>
      <c r="Y100" s="3" t="inlineStr">
        <is>
          <t>North</t>
        </is>
      </c>
      <c r="Z100" s="3" t="inlineStr">
        <is>
          <t>Varanasi</t>
        </is>
      </c>
      <c r="AA100" s="3" t="n">
        <v>3</v>
      </c>
      <c r="AB100" s="3" t="n">
        <v>0</v>
      </c>
      <c r="AC100" s="4" t="n">
        <v>46105</v>
      </c>
      <c r="AD100" s="3" t="n">
        <v>7</v>
      </c>
      <c r="AE100" s="3" t="inlineStr">
        <is>
          <t>115 &amp; 128</t>
        </is>
      </c>
      <c r="AF100" s="3" t="inlineStr"/>
      <c r="AG100" s="4" t="n">
        <v>46213</v>
      </c>
      <c r="AH100" s="3" t="inlineStr">
        <is>
          <t>UPL/GEN/371/2526</t>
        </is>
      </c>
      <c r="AI100" s="4" t="n">
        <v>46098</v>
      </c>
      <c r="AJ100" s="3" t="inlineStr">
        <is>
          <t xml:space="preserve"> Project Closure</t>
        </is>
      </c>
      <c r="AK100" s="5" t="n">
        <v>0</v>
      </c>
      <c r="AL100" s="5" t="n">
        <v>0</v>
      </c>
      <c r="AM100" s="5" t="n">
        <v>0</v>
      </c>
      <c r="AN100" s="3" t="inlineStr"/>
      <c r="AO100" s="5" t="n">
        <v>0</v>
      </c>
      <c r="AP100" s="5" t="n">
        <v>0</v>
      </c>
      <c r="AQ100" s="3" t="inlineStr"/>
    </row>
    <row r="101">
      <c r="A101" s="3" t="inlineStr">
        <is>
          <t>100</t>
        </is>
      </c>
      <c r="B101" s="3" t="inlineStr">
        <is>
          <t>NGS 260101</t>
        </is>
      </c>
      <c r="C101" s="4" t="n">
        <v>46099</v>
      </c>
      <c r="D101" s="3" t="inlineStr">
        <is>
          <t>March- 2026</t>
        </is>
      </c>
      <c r="E101" s="4" t="n">
        <v>46099</v>
      </c>
      <c r="F101" s="3" t="inlineStr">
        <is>
          <t>Dr. Aparna Sharma</t>
        </is>
      </c>
      <c r="G101" s="3" t="inlineStr">
        <is>
          <t>Aiims - Delhi</t>
        </is>
      </c>
      <c r="H101" s="3" t="inlineStr">
        <is>
          <t>Aiims - Delhi</t>
        </is>
      </c>
      <c r="I101" s="3" t="inlineStr">
        <is>
          <t>monikachettri.aiims@gmail.com</t>
        </is>
      </c>
      <c r="J101" s="3" t="inlineStr">
        <is>
          <t>7085151778/ 84488 15621</t>
        </is>
      </c>
      <c r="K101" s="3" t="inlineStr">
        <is>
          <t>Whole Exome Sequencing On Illumina Novaseq X Plus Platform</t>
        </is>
      </c>
      <c r="L101" s="3" t="inlineStr">
        <is>
          <t>DNA</t>
        </is>
      </c>
      <c r="M101" s="3" t="inlineStr">
        <is>
          <t>Wes Seq</t>
        </is>
      </c>
      <c r="N101" s="3" t="inlineStr">
        <is>
          <t xml:space="preserve">Without Analysis </t>
        </is>
      </c>
      <c r="O101" s="3" t="n">
        <v>7</v>
      </c>
      <c r="P101" s="3" t="inlineStr">
        <is>
          <t>25 GB/Sample (500X)</t>
        </is>
      </c>
      <c r="Q101" s="3" t="n">
        <v>25</v>
      </c>
      <c r="R101" s="3" t="n">
        <v>175</v>
      </c>
      <c r="S101" s="3" t="n">
        <v>19000</v>
      </c>
      <c r="T101" s="5" t="n">
        <v>133000</v>
      </c>
      <c r="U101" s="5" t="n">
        <v>0</v>
      </c>
      <c r="V101" s="5" t="n">
        <v>133000</v>
      </c>
      <c r="W101" s="3" t="inlineStr">
        <is>
          <t>UG/NGS/TP/2603592</t>
        </is>
      </c>
      <c r="X101" s="3" t="inlineStr">
        <is>
          <t xml:space="preserve">Harsh </t>
        </is>
      </c>
      <c r="Y101" s="3" t="inlineStr">
        <is>
          <t>North</t>
        </is>
      </c>
      <c r="Z101" s="3" t="inlineStr">
        <is>
          <t>New Delhi</t>
        </is>
      </c>
      <c r="AA101" s="3" t="n">
        <v>7</v>
      </c>
      <c r="AB101" s="3" t="n">
        <v>0</v>
      </c>
      <c r="AC101" s="4" t="n">
        <v>46101</v>
      </c>
      <c r="AD101" s="3" t="n">
        <v>2</v>
      </c>
      <c r="AE101" s="3" t="inlineStr">
        <is>
          <t>115 &amp; 116</t>
        </is>
      </c>
      <c r="AF101" s="4" t="n">
        <v>46137</v>
      </c>
      <c r="AG101" s="3" t="inlineStr"/>
      <c r="AH101" s="3" t="inlineStr"/>
      <c r="AI101" s="3" t="inlineStr"/>
      <c r="AJ101" s="3" t="inlineStr">
        <is>
          <t xml:space="preserve"> Project Closure</t>
        </is>
      </c>
      <c r="AK101" s="5" t="n">
        <v>133000</v>
      </c>
      <c r="AL101" s="5" t="n">
        <v>23940</v>
      </c>
      <c r="AM101" s="5" t="n">
        <v>156940</v>
      </c>
      <c r="AN101" s="3" t="n">
        <v>46219</v>
      </c>
      <c r="AO101" s="5" t="n">
        <v>0</v>
      </c>
      <c r="AP101" s="5" t="n">
        <v>-156940</v>
      </c>
      <c r="AQ101" s="3" t="inlineStr"/>
    </row>
    <row r="102">
      <c r="A102" s="3" t="inlineStr">
        <is>
          <t>101</t>
        </is>
      </c>
      <c r="B102" s="3" t="inlineStr">
        <is>
          <t>NGS 260103</t>
        </is>
      </c>
      <c r="C102" s="4" t="n">
        <v>46099</v>
      </c>
      <c r="D102" s="3" t="inlineStr">
        <is>
          <t>March- 2026</t>
        </is>
      </c>
      <c r="E102" s="4" t="n">
        <v>46099</v>
      </c>
      <c r="F102" s="3" t="inlineStr">
        <is>
          <t>Dr. Aparna Sharma</t>
        </is>
      </c>
      <c r="G102" s="3" t="inlineStr">
        <is>
          <t>Aiims - Delhi</t>
        </is>
      </c>
      <c r="H102" s="3" t="inlineStr">
        <is>
          <t>Aiims - Delhi</t>
        </is>
      </c>
      <c r="I102" s="3" t="inlineStr">
        <is>
          <t>monikachettri.aiims@gmail.com</t>
        </is>
      </c>
      <c r="J102" s="3" t="inlineStr">
        <is>
          <t>7085151778/ 84488 15621</t>
        </is>
      </c>
      <c r="K102" s="3" t="inlineStr">
        <is>
          <t>Whole Exome Sequencing On Illumina Novaseq X Plus Platform</t>
        </is>
      </c>
      <c r="L102" s="3" t="inlineStr">
        <is>
          <t>DNA</t>
        </is>
      </c>
      <c r="M102" s="3" t="inlineStr">
        <is>
          <t>Wes Seq</t>
        </is>
      </c>
      <c r="N102" s="3" t="inlineStr">
        <is>
          <t xml:space="preserve">Without Analysis </t>
        </is>
      </c>
      <c r="O102" s="3" t="n">
        <v>7</v>
      </c>
      <c r="P102" s="3" t="inlineStr">
        <is>
          <t>8-10 GB/Sample</t>
        </is>
      </c>
      <c r="Q102" s="3" t="n">
        <v>10</v>
      </c>
      <c r="R102" s="3" t="n">
        <v>70</v>
      </c>
      <c r="S102" s="3" t="n">
        <v>9000</v>
      </c>
      <c r="T102" s="5" t="n">
        <v>63000</v>
      </c>
      <c r="U102" s="5" t="n">
        <v>0</v>
      </c>
      <c r="V102" s="5" t="n">
        <v>63000</v>
      </c>
      <c r="W102" s="3" t="inlineStr">
        <is>
          <t>UG/NGS/TP/2603593</t>
        </is>
      </c>
      <c r="X102" s="3" t="inlineStr">
        <is>
          <t xml:space="preserve">Harsh </t>
        </is>
      </c>
      <c r="Y102" s="3" t="inlineStr">
        <is>
          <t>North</t>
        </is>
      </c>
      <c r="Z102" s="3" t="inlineStr">
        <is>
          <t>New Delhi</t>
        </is>
      </c>
      <c r="AA102" s="3" t="n">
        <v>7</v>
      </c>
      <c r="AB102" s="3" t="n">
        <v>0</v>
      </c>
      <c r="AC102" s="4" t="n">
        <v>46101</v>
      </c>
      <c r="AD102" s="3" t="n">
        <v>2</v>
      </c>
      <c r="AE102" s="3" t="inlineStr">
        <is>
          <t>115 &amp; 116</t>
        </is>
      </c>
      <c r="AF102" s="4" t="n">
        <v>46143</v>
      </c>
      <c r="AG102" s="3" t="inlineStr"/>
      <c r="AH102" s="3" t="inlineStr"/>
      <c r="AI102" s="3" t="inlineStr"/>
      <c r="AJ102" s="3" t="inlineStr">
        <is>
          <t xml:space="preserve"> Project Closure</t>
        </is>
      </c>
      <c r="AK102" s="5" t="n">
        <v>63000</v>
      </c>
      <c r="AL102" s="5" t="n">
        <v>11340</v>
      </c>
      <c r="AM102" s="5" t="n">
        <v>74340</v>
      </c>
      <c r="AN102" s="3" t="n">
        <v>46219</v>
      </c>
      <c r="AO102" s="5" t="n">
        <v>0</v>
      </c>
      <c r="AP102" s="5" t="n">
        <v>-74340</v>
      </c>
      <c r="AQ102" s="3" t="inlineStr"/>
    </row>
    <row r="103">
      <c r="A103" s="3" t="inlineStr">
        <is>
          <t>102</t>
        </is>
      </c>
      <c r="B103" s="3" t="inlineStr">
        <is>
          <t>NGS 260104</t>
        </is>
      </c>
      <c r="C103" s="4" t="n">
        <v>46099</v>
      </c>
      <c r="D103" s="3" t="inlineStr">
        <is>
          <t>March- 2026</t>
        </is>
      </c>
      <c r="E103" s="4" t="n">
        <v>46100</v>
      </c>
      <c r="F103" s="3" t="inlineStr">
        <is>
          <t>Dr. Ravindra Taware</t>
        </is>
      </c>
      <c r="G103" s="3" t="inlineStr">
        <is>
          <t>Niper-A</t>
        </is>
      </c>
      <c r="H103" s="3" t="inlineStr">
        <is>
          <t>Niper-A</t>
        </is>
      </c>
      <c r="I103" s="3" t="inlineStr">
        <is>
          <t>ravindra.taware@niperahm.res.in</t>
        </is>
      </c>
      <c r="J103" s="3" t="inlineStr"/>
      <c r="K103" s="3" t="inlineStr">
        <is>
          <t>Whole Genome Sequencing &amp; Analysis On Illumina Novaseq X Plus Platform</t>
        </is>
      </c>
      <c r="L103" s="3" t="inlineStr">
        <is>
          <t>Cell Pallets</t>
        </is>
      </c>
      <c r="M103" s="3" t="inlineStr">
        <is>
          <t>Wgs Seq</t>
        </is>
      </c>
      <c r="N103" s="3" t="inlineStr">
        <is>
          <t>With Analysis</t>
        </is>
      </c>
      <c r="O103" s="3" t="n">
        <v>2</v>
      </c>
      <c r="P103" s="3" t="inlineStr">
        <is>
          <t>8-10 GB/Sample</t>
        </is>
      </c>
      <c r="Q103" s="3" t="n">
        <v>8</v>
      </c>
      <c r="R103" s="3" t="n">
        <v>16</v>
      </c>
      <c r="S103" s="3" t="n">
        <v>17000</v>
      </c>
      <c r="T103" s="5" t="n">
        <v>34000</v>
      </c>
      <c r="U103" s="5" t="n">
        <v>6120</v>
      </c>
      <c r="V103" s="5" t="n">
        <v>40120</v>
      </c>
      <c r="W103" s="3" t="inlineStr">
        <is>
          <t>UG/NGS/TP/2602567</t>
        </is>
      </c>
      <c r="X103" s="3" t="inlineStr">
        <is>
          <t>Direct</t>
        </is>
      </c>
      <c r="Y103" s="3" t="inlineStr">
        <is>
          <t>West</t>
        </is>
      </c>
      <c r="Z103" s="3" t="inlineStr">
        <is>
          <t>Gandhinagar</t>
        </is>
      </c>
      <c r="AA103" s="3" t="n">
        <v>2</v>
      </c>
      <c r="AB103" s="3" t="n">
        <v>0</v>
      </c>
      <c r="AC103" s="4" t="n">
        <v>46113</v>
      </c>
      <c r="AD103" s="3" t="n">
        <v>13</v>
      </c>
      <c r="AE103" s="3" t="inlineStr">
        <is>
          <t>117</t>
        </is>
      </c>
      <c r="AF103" s="3" t="inlineStr"/>
      <c r="AG103" s="4" t="n">
        <v>46146</v>
      </c>
      <c r="AH103" s="3" t="inlineStr">
        <is>
          <t>UPL/GEN/359/2526</t>
        </is>
      </c>
      <c r="AI103" s="4" t="n">
        <v>46093</v>
      </c>
      <c r="AJ103" s="3" t="inlineStr">
        <is>
          <t xml:space="preserve"> Project Closure</t>
        </is>
      </c>
      <c r="AK103" s="5" t="n">
        <v>34000</v>
      </c>
      <c r="AL103" s="5" t="n">
        <v>6120</v>
      </c>
      <c r="AM103" s="5" t="n">
        <v>40120</v>
      </c>
      <c r="AN103" s="3" t="n">
        <v>126</v>
      </c>
      <c r="AO103" s="5" t="n">
        <v>40120</v>
      </c>
      <c r="AP103" s="5" t="n">
        <v>0</v>
      </c>
      <c r="AQ103" s="3" t="inlineStr"/>
    </row>
    <row r="104">
      <c r="A104" s="3" t="inlineStr">
        <is>
          <t>103</t>
        </is>
      </c>
      <c r="B104" s="3" t="inlineStr">
        <is>
          <t>NGS 260105</t>
        </is>
      </c>
      <c r="C104" s="4" t="n">
        <v>46100</v>
      </c>
      <c r="D104" s="3" t="inlineStr">
        <is>
          <t>March- 2026</t>
        </is>
      </c>
      <c r="E104" s="4" t="n">
        <v>46107</v>
      </c>
      <c r="F104" s="3" t="inlineStr">
        <is>
          <t>Dr.Nisha Desai</t>
        </is>
      </c>
      <c r="G104" s="3" t="inlineStr">
        <is>
          <t>Advait Theragnostics</t>
        </is>
      </c>
      <c r="H104" s="3" t="inlineStr">
        <is>
          <t>Advait Theragnostics</t>
        </is>
      </c>
      <c r="I104" s="3" t="inlineStr">
        <is>
          <t>cs@advaitdx.com</t>
        </is>
      </c>
      <c r="J104" s="3" t="inlineStr">
        <is>
          <t>8849903828</t>
        </is>
      </c>
      <c r="K104" s="3" t="inlineStr">
        <is>
          <t>RNA Sequencing On Illumina Novaseq X Plus Platform</t>
        </is>
      </c>
      <c r="L104" s="3" t="inlineStr">
        <is>
          <t>Fungal Spores</t>
        </is>
      </c>
      <c r="M104" s="3" t="inlineStr">
        <is>
          <t>RNA Seq</t>
        </is>
      </c>
      <c r="N104" s="3" t="inlineStr">
        <is>
          <t xml:space="preserve">Without Analysis </t>
        </is>
      </c>
      <c r="O104" s="3" t="n">
        <v>10</v>
      </c>
      <c r="P104" s="3" t="inlineStr">
        <is>
          <t>5-6 GB/Sample</t>
        </is>
      </c>
      <c r="Q104" s="3" t="n">
        <v>6</v>
      </c>
      <c r="R104" s="3" t="n">
        <v>60</v>
      </c>
      <c r="S104" s="3" t="n">
        <v>12500</v>
      </c>
      <c r="T104" s="5" t="n">
        <v>125000</v>
      </c>
      <c r="U104" s="5" t="n">
        <v>22500</v>
      </c>
      <c r="V104" s="5" t="n">
        <v>147500</v>
      </c>
      <c r="W104" s="3" t="inlineStr">
        <is>
          <t>UG/NGS/TP/2603595</t>
        </is>
      </c>
      <c r="X104" s="3" t="inlineStr">
        <is>
          <t>Direct</t>
        </is>
      </c>
      <c r="Y104" s="3" t="inlineStr">
        <is>
          <t>West</t>
        </is>
      </c>
      <c r="Z104" s="3" t="inlineStr">
        <is>
          <t>Ahmedabad</t>
        </is>
      </c>
      <c r="AA104" s="3" t="n">
        <v>0</v>
      </c>
      <c r="AB104" s="3" t="n">
        <v>10</v>
      </c>
      <c r="AC104" s="4" t="n">
        <v>46116</v>
      </c>
      <c r="AD104" s="3" t="n">
        <v>9</v>
      </c>
      <c r="AE104" s="3" t="inlineStr"/>
      <c r="AF104" s="3" t="inlineStr"/>
      <c r="AG104" s="3" t="inlineStr"/>
      <c r="AH104" s="3" t="inlineStr"/>
      <c r="AI104" s="3" t="inlineStr"/>
      <c r="AJ104" s="3" t="inlineStr">
        <is>
          <t>QC Fail</t>
        </is>
      </c>
      <c r="AK104" s="5" t="n">
        <v>0</v>
      </c>
      <c r="AL104" s="5" t="n">
        <v>0</v>
      </c>
      <c r="AM104" s="5" t="n">
        <v>0</v>
      </c>
      <c r="AN104" s="3" t="inlineStr"/>
      <c r="AO104" s="5" t="n">
        <v>0</v>
      </c>
      <c r="AP104" s="5" t="n">
        <v>0</v>
      </c>
      <c r="AQ104" s="3" t="inlineStr"/>
    </row>
    <row r="105">
      <c r="A105" s="3" t="inlineStr">
        <is>
          <t>104</t>
        </is>
      </c>
      <c r="B105" s="3" t="inlineStr">
        <is>
          <t>NGS 260106</t>
        </is>
      </c>
      <c r="C105" s="4" t="n">
        <v>46100</v>
      </c>
      <c r="D105" s="3" t="inlineStr">
        <is>
          <t>March- 2026</t>
        </is>
      </c>
      <c r="E105" s="4" t="n">
        <v>46101</v>
      </c>
      <c r="F105" s="3" t="inlineStr">
        <is>
          <t>Dr. V Balaji</t>
        </is>
      </c>
      <c r="G105" s="3" t="inlineStr">
        <is>
          <t>Cmc Vellore</t>
        </is>
      </c>
      <c r="H105" s="3" t="inlineStr">
        <is>
          <t>Cmc Vellore</t>
        </is>
      </c>
      <c r="I105" s="3" t="inlineStr">
        <is>
          <t>jjj1986@gmail.com, ayyanmicro@gmail.com</t>
        </is>
      </c>
      <c r="J105" s="3" t="inlineStr">
        <is>
          <t>99943 93453</t>
        </is>
      </c>
      <c r="K105" s="3" t="inlineStr">
        <is>
          <t>RNA Sequencing On Illumina Novaseq X Plus Platform (Ribodepletion)</t>
        </is>
      </c>
      <c r="L105" s="3" t="inlineStr">
        <is>
          <t>Bacterial Cell Pellets</t>
        </is>
      </c>
      <c r="M105" s="3" t="inlineStr">
        <is>
          <t>RNA Seq</t>
        </is>
      </c>
      <c r="N105" s="3" t="inlineStr">
        <is>
          <t xml:space="preserve">Without Analysis </t>
        </is>
      </c>
      <c r="O105" s="3" t="n">
        <v>14</v>
      </c>
      <c r="P105" s="3" t="inlineStr">
        <is>
          <t>3 GB/Sample</t>
        </is>
      </c>
      <c r="Q105" s="3" t="n">
        <v>3</v>
      </c>
      <c r="R105" s="3" t="n">
        <v>42</v>
      </c>
      <c r="S105" s="3" t="n">
        <v>8000</v>
      </c>
      <c r="T105" s="5" t="n">
        <v>112000</v>
      </c>
      <c r="U105" s="5" t="n">
        <v>20160</v>
      </c>
      <c r="V105" s="5" t="n">
        <v>132160</v>
      </c>
      <c r="W105" s="3" t="inlineStr">
        <is>
          <t>UG/NGS/TP/2512382</t>
        </is>
      </c>
      <c r="X105" s="3" t="inlineStr">
        <is>
          <t>Pugalendhi</t>
        </is>
      </c>
      <c r="Y105" s="3" t="inlineStr">
        <is>
          <t>South</t>
        </is>
      </c>
      <c r="Z105" s="3" t="inlineStr">
        <is>
          <t>Vellore</t>
        </is>
      </c>
      <c r="AA105" s="3" t="n">
        <v>14</v>
      </c>
      <c r="AB105" s="3" t="n">
        <v>0</v>
      </c>
      <c r="AC105" s="4" t="n">
        <v>46112</v>
      </c>
      <c r="AD105" s="3" t="n">
        <v>11</v>
      </c>
      <c r="AE105" s="3" t="inlineStr">
        <is>
          <t>124</t>
        </is>
      </c>
      <c r="AF105" s="4" t="n">
        <v>46156</v>
      </c>
      <c r="AG105" s="3" t="inlineStr"/>
      <c r="AH105" s="3" t="inlineStr">
        <is>
          <t>UPL/GEN/2627/04</t>
        </is>
      </c>
      <c r="AI105" s="4" t="n">
        <v>46119</v>
      </c>
      <c r="AJ105" s="3" t="inlineStr">
        <is>
          <t xml:space="preserve"> Project Closure</t>
        </is>
      </c>
      <c r="AK105" s="5" t="n">
        <v>112000</v>
      </c>
      <c r="AL105" s="5" t="n">
        <v>20160</v>
      </c>
      <c r="AM105" s="5" t="n">
        <v>132160</v>
      </c>
      <c r="AN105" s="3" t="n">
        <v>100</v>
      </c>
      <c r="AO105" s="5" t="n">
        <v>132160</v>
      </c>
      <c r="AP105" s="5" t="n">
        <v>0</v>
      </c>
      <c r="AQ105" s="4" t="n">
        <v>46164</v>
      </c>
    </row>
    <row r="106">
      <c r="A106" s="3" t="inlineStr">
        <is>
          <t>105</t>
        </is>
      </c>
      <c r="B106" s="3" t="inlineStr">
        <is>
          <t>NGS 260107</t>
        </is>
      </c>
      <c r="C106" s="4" t="n">
        <v>46100</v>
      </c>
      <c r="D106" s="3" t="inlineStr">
        <is>
          <t>March- 2026</t>
        </is>
      </c>
      <c r="E106" s="4" t="n">
        <v>46101</v>
      </c>
      <c r="F106" s="3" t="inlineStr">
        <is>
          <t>Dr. V Balaji</t>
        </is>
      </c>
      <c r="G106" s="3" t="inlineStr">
        <is>
          <t>Cmc Vellore</t>
        </is>
      </c>
      <c r="H106" s="3" t="inlineStr">
        <is>
          <t>Cmc Vellore</t>
        </is>
      </c>
      <c r="I106" s="3" t="inlineStr">
        <is>
          <t>jjj1986@gmail.com, ayyanmicro@gmail.com</t>
        </is>
      </c>
      <c r="J106" s="3" t="inlineStr">
        <is>
          <t>99943 93453</t>
        </is>
      </c>
      <c r="K106" s="3" t="inlineStr">
        <is>
          <t>Whole Genome Metagenome Sequencing On Illumina Novaseq X Plus Platform</t>
        </is>
      </c>
      <c r="L106" s="3" t="inlineStr">
        <is>
          <t>DNA</t>
        </is>
      </c>
      <c r="M106" s="3" t="inlineStr">
        <is>
          <t>Wgs Metagenome</t>
        </is>
      </c>
      <c r="N106" s="3" t="inlineStr">
        <is>
          <t xml:space="preserve">Without Analysis </t>
        </is>
      </c>
      <c r="O106" s="3" t="n">
        <v>61</v>
      </c>
      <c r="P106" s="3" t="inlineStr">
        <is>
          <t>3 GB/Sample</t>
        </is>
      </c>
      <c r="Q106" s="3" t="n">
        <v>3</v>
      </c>
      <c r="R106" s="3" t="n">
        <v>183</v>
      </c>
      <c r="S106" s="3" t="n">
        <v>3700</v>
      </c>
      <c r="T106" s="5" t="n">
        <v>225700</v>
      </c>
      <c r="U106" s="5" t="n">
        <v>40626</v>
      </c>
      <c r="V106" s="5" t="n">
        <v>266326</v>
      </c>
      <c r="W106" s="3" t="inlineStr">
        <is>
          <t>UG/NGS/TP/2601502</t>
        </is>
      </c>
      <c r="X106" s="3" t="inlineStr">
        <is>
          <t>Pugalendhi</t>
        </is>
      </c>
      <c r="Y106" s="3" t="inlineStr">
        <is>
          <t>South</t>
        </is>
      </c>
      <c r="Z106" s="3" t="inlineStr">
        <is>
          <t>Vellore</t>
        </is>
      </c>
      <c r="AA106" s="3" t="n">
        <v>61</v>
      </c>
      <c r="AB106" s="3" t="n">
        <v>0</v>
      </c>
      <c r="AC106" s="4" t="n">
        <v>46106</v>
      </c>
      <c r="AD106" s="3" t="n">
        <v>5</v>
      </c>
      <c r="AE106" s="3" t="inlineStr">
        <is>
          <t>117</t>
        </is>
      </c>
      <c r="AF106" s="4" t="n">
        <v>46140</v>
      </c>
      <c r="AG106" s="3" t="inlineStr"/>
      <c r="AH106" s="3" t="inlineStr">
        <is>
          <t>UPL/GEN/2627/03</t>
        </is>
      </c>
      <c r="AI106" s="4" t="n">
        <v>46119</v>
      </c>
      <c r="AJ106" s="3" t="inlineStr">
        <is>
          <t xml:space="preserve"> Project Closure</t>
        </is>
      </c>
      <c r="AK106" s="5" t="n">
        <v>225700</v>
      </c>
      <c r="AL106" s="5" t="n">
        <v>40626</v>
      </c>
      <c r="AM106" s="5" t="n">
        <v>266326</v>
      </c>
      <c r="AN106" s="3" t="n">
        <v>100</v>
      </c>
      <c r="AO106" s="5" t="n">
        <v>266326</v>
      </c>
      <c r="AP106" s="5" t="n">
        <v>0</v>
      </c>
      <c r="AQ106" s="4" t="n">
        <v>46165</v>
      </c>
    </row>
    <row r="107">
      <c r="A107" s="3" t="inlineStr">
        <is>
          <t>106</t>
        </is>
      </c>
      <c r="B107" s="3" t="inlineStr">
        <is>
          <t>NGS 260108</t>
        </is>
      </c>
      <c r="C107" s="4" t="n">
        <v>46100</v>
      </c>
      <c r="D107" s="3" t="inlineStr">
        <is>
          <t>March- 2026</t>
        </is>
      </c>
      <c r="E107" s="4" t="n">
        <v>46101</v>
      </c>
      <c r="F107" s="3" t="inlineStr">
        <is>
          <t>Dr. V Balaji</t>
        </is>
      </c>
      <c r="G107" s="3" t="inlineStr">
        <is>
          <t>Cmc Vellore</t>
        </is>
      </c>
      <c r="H107" s="3" t="inlineStr">
        <is>
          <t>Cmc Vellore</t>
        </is>
      </c>
      <c r="I107" s="3" t="inlineStr">
        <is>
          <t>jjj1986@gmail.com, ayyanmicro@gmail.com</t>
        </is>
      </c>
      <c r="J107" s="3" t="inlineStr">
        <is>
          <t>99943 93453</t>
        </is>
      </c>
      <c r="K107" s="3" t="inlineStr">
        <is>
          <t>Whole Genome Sequencing On Illumina Novaseq 6000 Platforms</t>
        </is>
      </c>
      <c r="L107" s="3" t="inlineStr">
        <is>
          <t>DNA</t>
        </is>
      </c>
      <c r="M107" s="3" t="inlineStr">
        <is>
          <t>Wgs Seq</t>
        </is>
      </c>
      <c r="N107" s="3" t="inlineStr">
        <is>
          <t>Without Analysis</t>
        </is>
      </c>
      <c r="O107" s="3" t="n">
        <v>169</v>
      </c>
      <c r="P107" s="3" t="inlineStr">
        <is>
          <t>0.5 GB -1 GB/sample</t>
        </is>
      </c>
      <c r="Q107" s="3" t="n">
        <v>1</v>
      </c>
      <c r="R107" s="3" t="n">
        <v>169</v>
      </c>
      <c r="S107" s="3" t="n">
        <v>2300</v>
      </c>
      <c r="T107" s="5" t="n">
        <v>388700</v>
      </c>
      <c r="U107" s="5" t="n">
        <v>69966</v>
      </c>
      <c r="V107" s="5" t="n">
        <v>458666</v>
      </c>
      <c r="W107" s="3" t="inlineStr">
        <is>
          <t>UG/NGS/TP/2503554</t>
        </is>
      </c>
      <c r="X107" s="3" t="inlineStr">
        <is>
          <t>Pugalendhi</t>
        </is>
      </c>
      <c r="Y107" s="3" t="inlineStr">
        <is>
          <t>South</t>
        </is>
      </c>
      <c r="Z107" s="3" t="inlineStr">
        <is>
          <t>Vellore</t>
        </is>
      </c>
      <c r="AA107" s="3" t="n">
        <v>168</v>
      </c>
      <c r="AB107" s="3" t="n">
        <v>1</v>
      </c>
      <c r="AC107" s="4" t="n">
        <v>46105</v>
      </c>
      <c r="AD107" s="3" t="n">
        <v>4</v>
      </c>
      <c r="AE107" s="3" t="inlineStr">
        <is>
          <t>115</t>
        </is>
      </c>
      <c r="AF107" s="4" t="n">
        <v>46140</v>
      </c>
      <c r="AG107" s="3" t="inlineStr"/>
      <c r="AH107" s="3" t="inlineStr">
        <is>
          <t>UPL/GEN/421/2526</t>
        </is>
      </c>
      <c r="AI107" s="4" t="n">
        <v>46112</v>
      </c>
      <c r="AJ107" s="3" t="inlineStr">
        <is>
          <t xml:space="preserve"> Project Closure</t>
        </is>
      </c>
      <c r="AK107" s="5" t="n">
        <v>386400</v>
      </c>
      <c r="AL107" s="5" t="n">
        <v>69552</v>
      </c>
      <c r="AM107" s="5" t="n">
        <v>455952</v>
      </c>
      <c r="AN107" s="3" t="n">
        <v>107</v>
      </c>
      <c r="AO107" s="5" t="n">
        <v>455952</v>
      </c>
      <c r="AP107" s="5" t="n">
        <v>0</v>
      </c>
      <c r="AQ107" s="4" t="n">
        <v>46140</v>
      </c>
    </row>
    <row r="108">
      <c r="A108" s="3" t="inlineStr">
        <is>
          <t>107</t>
        </is>
      </c>
      <c r="B108" s="3" t="inlineStr">
        <is>
          <t>NGS 260109</t>
        </is>
      </c>
      <c r="C108" s="4" t="n">
        <v>46102</v>
      </c>
      <c r="D108" s="3" t="inlineStr">
        <is>
          <t>March- 2026</t>
        </is>
      </c>
      <c r="E108" s="4" t="n">
        <v>46102</v>
      </c>
      <c r="F108" s="3" t="inlineStr">
        <is>
          <t>Mr.Digil</t>
        </is>
      </c>
      <c r="G108" s="3" t="inlineStr">
        <is>
          <t>Geno Connect Services Private Limited</t>
        </is>
      </c>
      <c r="H108" s="3" t="inlineStr">
        <is>
          <t>Geno Connect Services Private Limited</t>
        </is>
      </c>
      <c r="I108" s="3" t="inlineStr">
        <is>
          <t>Genoconnect.pvt.ltd@gmail.com</t>
        </is>
      </c>
      <c r="J108" s="3" t="inlineStr">
        <is>
          <t>9400039514</t>
        </is>
      </c>
      <c r="K108" s="3" t="inlineStr">
        <is>
          <t>Low Pass Whole Genome Sequencing On Illumina Novaseq X Plus Platform</t>
        </is>
      </c>
      <c r="L108" s="3" t="inlineStr">
        <is>
          <t>Swab Samples</t>
        </is>
      </c>
      <c r="M108" s="3" t="inlineStr">
        <is>
          <t>Low Pass Wgs</t>
        </is>
      </c>
      <c r="N108" s="3" t="inlineStr">
        <is>
          <t xml:space="preserve">Without Analysis </t>
        </is>
      </c>
      <c r="O108" s="3" t="n">
        <v>1</v>
      </c>
      <c r="P108" s="3" t="inlineStr">
        <is>
          <t>15 GB/sample (5 X Coverage)</t>
        </is>
      </c>
      <c r="Q108" s="3" t="n">
        <v>15</v>
      </c>
      <c r="R108" s="3" t="n">
        <v>15</v>
      </c>
      <c r="S108" s="3" t="n">
        <v>8000</v>
      </c>
      <c r="T108" s="5" t="n">
        <v>8000</v>
      </c>
      <c r="U108" s="5" t="n">
        <v>1440</v>
      </c>
      <c r="V108" s="5" t="n">
        <v>9440</v>
      </c>
      <c r="W108" s="3" t="inlineStr">
        <is>
          <t>UG/NGS/TP/2512396R1</t>
        </is>
      </c>
      <c r="X108" s="3" t="inlineStr">
        <is>
          <t>Direct</t>
        </is>
      </c>
      <c r="Y108" s="3" t="inlineStr">
        <is>
          <t>South</t>
        </is>
      </c>
      <c r="Z108" s="3" t="inlineStr">
        <is>
          <t>Kattippara</t>
        </is>
      </c>
      <c r="AA108" s="3" t="n">
        <v>1</v>
      </c>
      <c r="AB108" s="3" t="n">
        <v>0</v>
      </c>
      <c r="AC108" s="4" t="n">
        <v>46113</v>
      </c>
      <c r="AD108" s="3" t="n">
        <v>11</v>
      </c>
      <c r="AE108" s="3" t="inlineStr">
        <is>
          <t>115 &amp; 116</t>
        </is>
      </c>
      <c r="AF108" s="4" t="n">
        <v>46200</v>
      </c>
      <c r="AG108" s="3" t="inlineStr"/>
      <c r="AH108" s="3" t="inlineStr"/>
      <c r="AI108" s="3" t="inlineStr"/>
      <c r="AJ108" s="3" t="inlineStr">
        <is>
          <t xml:space="preserve"> Project Closure</t>
        </is>
      </c>
      <c r="AK108" s="5" t="n">
        <v>8000</v>
      </c>
      <c r="AL108" s="5" t="n">
        <v>1440</v>
      </c>
      <c r="AM108" s="5" t="n">
        <v>9440</v>
      </c>
      <c r="AN108" s="3" t="inlineStr"/>
      <c r="AO108" s="5" t="n">
        <v>0</v>
      </c>
      <c r="AP108" s="5" t="n">
        <v>-9440</v>
      </c>
      <c r="AQ108" s="3" t="inlineStr"/>
    </row>
    <row r="109">
      <c r="A109" s="3" t="inlineStr">
        <is>
          <t>108</t>
        </is>
      </c>
      <c r="B109" s="3" t="inlineStr">
        <is>
          <t xml:space="preserve">Advance </t>
        </is>
      </c>
      <c r="C109" s="3" t="inlineStr"/>
      <c r="D109" s="3" t="inlineStr"/>
      <c r="E109" s="3" t="inlineStr"/>
      <c r="F109" s="3" t="inlineStr">
        <is>
          <t>Dr. Juhi Tayal</t>
        </is>
      </c>
      <c r="G109" s="3" t="inlineStr">
        <is>
          <t>Rgcirc, Delhi</t>
        </is>
      </c>
      <c r="H109" s="3" t="inlineStr">
        <is>
          <t>Rgcirc, Delhi</t>
        </is>
      </c>
      <c r="I109" s="3" t="inlineStr">
        <is>
          <t>juhitayal76@gmail.com</t>
        </is>
      </c>
      <c r="J109" s="3" t="inlineStr"/>
      <c r="K109" s="3" t="inlineStr">
        <is>
          <t>Mrna Sequencing On Illumina Novaseq X Plus Platform</t>
        </is>
      </c>
      <c r="L109" s="3" t="inlineStr">
        <is>
          <t>Human Tissue</t>
        </is>
      </c>
      <c r="M109" s="3" t="inlineStr">
        <is>
          <t>Mrna Seq</t>
        </is>
      </c>
      <c r="N109" s="3" t="inlineStr"/>
      <c r="O109" s="3" t="n">
        <v>100</v>
      </c>
      <c r="P109" s="3" t="inlineStr">
        <is>
          <t>8-9 GB/Sample</t>
        </is>
      </c>
      <c r="Q109" s="3" t="n">
        <v>9</v>
      </c>
      <c r="R109" s="3" t="n">
        <v>900</v>
      </c>
      <c r="S109" s="3" t="n">
        <v>10500</v>
      </c>
      <c r="T109" s="5" t="n">
        <v>1050000</v>
      </c>
      <c r="U109" s="5" t="n">
        <v>0</v>
      </c>
      <c r="V109" s="5" t="n">
        <v>0</v>
      </c>
      <c r="W109" s="3" t="inlineStr"/>
      <c r="X109" s="3" t="inlineStr"/>
      <c r="Y109" s="3" t="inlineStr">
        <is>
          <t>N/A</t>
        </is>
      </c>
      <c r="Z109" s="3" t="inlineStr">
        <is>
          <t>N/A</t>
        </is>
      </c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5" t="n">
        <v>0</v>
      </c>
      <c r="AL109" s="5" t="n">
        <v>0</v>
      </c>
      <c r="AM109" s="5" t="n">
        <v>0</v>
      </c>
      <c r="AN109" s="3" t="inlineStr"/>
      <c r="AO109" s="5" t="n">
        <v>0</v>
      </c>
      <c r="AP109" s="5" t="n">
        <v>0</v>
      </c>
      <c r="AQ109" s="3" t="inlineStr"/>
    </row>
    <row r="110">
      <c r="A110" s="3" t="inlineStr">
        <is>
          <t>109</t>
        </is>
      </c>
      <c r="B110" s="3" t="inlineStr">
        <is>
          <t>NGS 260110</t>
        </is>
      </c>
      <c r="C110" s="4" t="n">
        <v>46104</v>
      </c>
      <c r="D110" s="3" t="inlineStr">
        <is>
          <t>March- 2026</t>
        </is>
      </c>
      <c r="E110" s="4" t="n">
        <v>46104</v>
      </c>
      <c r="F110" s="3" t="inlineStr">
        <is>
          <t>Dr. Reena Arora</t>
        </is>
      </c>
      <c r="G110" s="3" t="inlineStr">
        <is>
          <t>ICAR-Nbagr, Karnal</t>
        </is>
      </c>
      <c r="H110" s="3" t="inlineStr">
        <is>
          <t>ICAR-Nbagr, Karnal</t>
        </is>
      </c>
      <c r="I110" s="3" t="inlineStr">
        <is>
          <t xml:space="preserve">rejagati@yahoo.co.in </t>
        </is>
      </c>
      <c r="J110" s="3" t="inlineStr">
        <is>
          <t>9896273333</t>
        </is>
      </c>
      <c r="K110" s="3" t="inlineStr">
        <is>
          <t>Transcriptome Sequencing On Illumina Novaseq X Plus Platform</t>
        </is>
      </c>
      <c r="L110" s="3" t="inlineStr">
        <is>
          <t>RNA</t>
        </is>
      </c>
      <c r="M110" s="3" t="inlineStr">
        <is>
          <t>RNA Seq</t>
        </is>
      </c>
      <c r="N110" s="3" t="inlineStr">
        <is>
          <t xml:space="preserve">Without Analysis </t>
        </is>
      </c>
      <c r="O110" s="3" t="n">
        <v>8</v>
      </c>
      <c r="P110" s="3" t="inlineStr">
        <is>
          <t>15 GB/sample</t>
        </is>
      </c>
      <c r="Q110" s="3" t="n">
        <v>15</v>
      </c>
      <c r="R110" s="3" t="n">
        <v>120</v>
      </c>
      <c r="S110" s="3" t="inlineStr"/>
      <c r="T110" s="5" t="n">
        <v>520000</v>
      </c>
      <c r="U110" s="5" t="n">
        <v>93600</v>
      </c>
      <c r="V110" s="5" t="n">
        <v>613600</v>
      </c>
      <c r="W110" s="3" t="inlineStr">
        <is>
          <t>GEMC-511687736075395</t>
        </is>
      </c>
      <c r="X110" s="3" t="inlineStr">
        <is>
          <t>Rituraj Singh</t>
        </is>
      </c>
      <c r="Y110" s="3" t="inlineStr">
        <is>
          <t>North</t>
        </is>
      </c>
      <c r="Z110" s="3" t="inlineStr">
        <is>
          <t>Karnal</t>
        </is>
      </c>
      <c r="AA110" s="3" t="n">
        <v>2</v>
      </c>
      <c r="AB110" s="3" t="n">
        <v>6</v>
      </c>
      <c r="AC110" s="4" t="n">
        <v>46113</v>
      </c>
      <c r="AD110" s="3" t="n">
        <v>9</v>
      </c>
      <c r="AE110" s="3" t="inlineStr">
        <is>
          <t>120</t>
        </is>
      </c>
      <c r="AF110" s="4" t="n">
        <v>46143</v>
      </c>
      <c r="AG110" s="3" t="inlineStr"/>
      <c r="AH110" s="3" t="inlineStr">
        <is>
          <t>UPL/GEN/413/2526</t>
        </is>
      </c>
      <c r="AI110" s="3" t="inlineStr"/>
      <c r="AJ110" s="3" t="inlineStr">
        <is>
          <t xml:space="preserve"> Project Closure</t>
        </is>
      </c>
      <c r="AK110" s="5" t="n">
        <v>0</v>
      </c>
      <c r="AL110" s="5" t="n">
        <v>0</v>
      </c>
      <c r="AM110" s="5" t="n">
        <v>0</v>
      </c>
      <c r="AN110" s="3" t="n">
        <v>46219</v>
      </c>
      <c r="AO110" s="5" t="n">
        <v>0</v>
      </c>
      <c r="AP110" s="5" t="n">
        <v>0</v>
      </c>
      <c r="AQ110" s="3" t="inlineStr"/>
    </row>
    <row r="111">
      <c r="A111" s="3" t="inlineStr">
        <is>
          <t>110</t>
        </is>
      </c>
      <c r="B111" s="3" t="inlineStr">
        <is>
          <t>NGS 260111</t>
        </is>
      </c>
      <c r="C111" s="4" t="n">
        <v>46104</v>
      </c>
      <c r="D111" s="3" t="inlineStr">
        <is>
          <t>March- 2026</t>
        </is>
      </c>
      <c r="E111" s="4" t="n">
        <v>46104</v>
      </c>
      <c r="F111" s="3" t="inlineStr">
        <is>
          <t>Dr. Reena Arora</t>
        </is>
      </c>
      <c r="G111" s="3" t="inlineStr">
        <is>
          <t>ICAR-Nbagr, Karnal</t>
        </is>
      </c>
      <c r="H111" s="3" t="inlineStr">
        <is>
          <t>ICAR-Nbagr, Karnal</t>
        </is>
      </c>
      <c r="I111" s="3" t="inlineStr">
        <is>
          <t xml:space="preserve">rejagati@yahoo.co.in </t>
        </is>
      </c>
      <c r="J111" s="3" t="inlineStr">
        <is>
          <t>9896273333</t>
        </is>
      </c>
      <c r="K111" s="3" t="inlineStr">
        <is>
          <t>Whole Genome Sequencing On Illumina Novaseq X Plus Platform</t>
        </is>
      </c>
      <c r="L111" s="3" t="inlineStr">
        <is>
          <t>DNA</t>
        </is>
      </c>
      <c r="M111" s="3" t="inlineStr">
        <is>
          <t>Wgs</t>
        </is>
      </c>
      <c r="N111" s="3" t="inlineStr">
        <is>
          <t xml:space="preserve">Without Analysis </t>
        </is>
      </c>
      <c r="O111" s="3" t="n">
        <v>10</v>
      </c>
      <c r="P111" s="3" t="inlineStr">
        <is>
          <t>30 GB/Sample</t>
        </is>
      </c>
      <c r="Q111" s="3" t="n">
        <v>30</v>
      </c>
      <c r="R111" s="3" t="n">
        <v>300</v>
      </c>
      <c r="S111" s="3" t="inlineStr"/>
      <c r="T111" s="5" t="n">
        <v>0</v>
      </c>
      <c r="U111" s="5" t="n">
        <v>0</v>
      </c>
      <c r="V111" s="5" t="n">
        <v>0</v>
      </c>
      <c r="W111" s="3" t="inlineStr"/>
      <c r="X111" s="3" t="inlineStr">
        <is>
          <t>Rituraj Singh</t>
        </is>
      </c>
      <c r="Y111" s="3" t="inlineStr">
        <is>
          <t>North</t>
        </is>
      </c>
      <c r="Z111" s="3" t="inlineStr">
        <is>
          <t>Karnal</t>
        </is>
      </c>
      <c r="AA111" s="3" t="n">
        <v>10</v>
      </c>
      <c r="AB111" s="3" t="n">
        <v>0</v>
      </c>
      <c r="AC111" s="4" t="n">
        <v>46105</v>
      </c>
      <c r="AD111" s="3" t="n">
        <v>1</v>
      </c>
      <c r="AE111" s="3" t="inlineStr">
        <is>
          <t>115 &amp; 116</t>
        </is>
      </c>
      <c r="AF111" s="4" t="n">
        <v>46127</v>
      </c>
      <c r="AG111" s="3" t="inlineStr"/>
      <c r="AH111" s="3" t="inlineStr"/>
      <c r="AI111" s="4" t="n">
        <v>46111</v>
      </c>
      <c r="AJ111" s="3" t="inlineStr">
        <is>
          <t xml:space="preserve"> Project Closure</t>
        </is>
      </c>
      <c r="AK111" s="5" t="n">
        <v>520000</v>
      </c>
      <c r="AL111" s="5" t="n">
        <v>93600</v>
      </c>
      <c r="AM111" s="5" t="n">
        <v>613600</v>
      </c>
      <c r="AN111" s="3" t="n">
        <v>108</v>
      </c>
      <c r="AO111" s="5" t="n">
        <v>613600</v>
      </c>
      <c r="AP111" s="5" t="n">
        <v>0</v>
      </c>
      <c r="AQ111" s="4" t="n">
        <v>46112</v>
      </c>
    </row>
    <row r="112">
      <c r="A112" s="3" t="inlineStr">
        <is>
          <t>111</t>
        </is>
      </c>
      <c r="B112" s="3" t="inlineStr">
        <is>
          <t>NGS 260112</t>
        </is>
      </c>
      <c r="C112" s="4" t="n">
        <v>46104</v>
      </c>
      <c r="D112" s="3" t="inlineStr">
        <is>
          <t>March- 2026</t>
        </is>
      </c>
      <c r="E112" s="4" t="n">
        <v>46104</v>
      </c>
      <c r="F112" s="3" t="inlineStr">
        <is>
          <t>Dr. Reena Arora</t>
        </is>
      </c>
      <c r="G112" s="3" t="inlineStr">
        <is>
          <t>ICAR-Nbagr, Karnal</t>
        </is>
      </c>
      <c r="H112" s="3" t="inlineStr">
        <is>
          <t>ICAR-Nbagr, Karnal</t>
        </is>
      </c>
      <c r="I112" s="3" t="inlineStr">
        <is>
          <t xml:space="preserve">rejagati@yahoo.co.in </t>
        </is>
      </c>
      <c r="J112" s="3" t="inlineStr">
        <is>
          <t>9896273333</t>
        </is>
      </c>
      <c r="K112" s="3" t="inlineStr">
        <is>
          <t>Whole Genome Bisulphite Sequencing On Illumina Novaseq X Plus Platform</t>
        </is>
      </c>
      <c r="L112" s="3" t="inlineStr">
        <is>
          <t>DNA</t>
        </is>
      </c>
      <c r="M112" s="3" t="inlineStr">
        <is>
          <t>N/A</t>
        </is>
      </c>
      <c r="N112" s="3" t="inlineStr">
        <is>
          <t xml:space="preserve">Without Analysis </t>
        </is>
      </c>
      <c r="O112" s="3" t="n">
        <v>22</v>
      </c>
      <c r="P112" s="3" t="inlineStr">
        <is>
          <t>30 GB/Sample</t>
        </is>
      </c>
      <c r="Q112" s="3" t="n">
        <v>30</v>
      </c>
      <c r="R112" s="3" t="n">
        <v>660</v>
      </c>
      <c r="S112" s="3" t="inlineStr"/>
      <c r="T112" s="5" t="n">
        <v>0</v>
      </c>
      <c r="U112" s="5" t="n">
        <v>0</v>
      </c>
      <c r="V112" s="5" t="n">
        <v>0</v>
      </c>
      <c r="W112" s="3" t="inlineStr"/>
      <c r="X112" s="3" t="inlineStr">
        <is>
          <t>Rituraj Singh</t>
        </is>
      </c>
      <c r="Y112" s="3" t="inlineStr">
        <is>
          <t>North</t>
        </is>
      </c>
      <c r="Z112" s="3" t="inlineStr">
        <is>
          <t>Karnal</t>
        </is>
      </c>
      <c r="AA112" s="3" t="n">
        <v>22</v>
      </c>
      <c r="AB112" s="3" t="n">
        <v>0</v>
      </c>
      <c r="AC112" s="4" t="n">
        <v>46107</v>
      </c>
      <c r="AD112" s="3" t="n">
        <v>3</v>
      </c>
      <c r="AE112" s="3" t="inlineStr"/>
      <c r="AF112" s="3" t="inlineStr"/>
      <c r="AG112" s="3" t="inlineStr"/>
      <c r="AH112" s="3" t="inlineStr"/>
      <c r="AI112" s="3" t="inlineStr"/>
      <c r="AJ112" s="3" t="inlineStr"/>
      <c r="AK112" s="5" t="n">
        <v>0</v>
      </c>
      <c r="AL112" s="5" t="n">
        <v>0</v>
      </c>
      <c r="AM112" s="5" t="n">
        <v>0</v>
      </c>
      <c r="AN112" s="3" t="inlineStr"/>
      <c r="AO112" s="5" t="n">
        <v>0</v>
      </c>
      <c r="AP112" s="5" t="n">
        <v>0</v>
      </c>
      <c r="AQ112" s="3" t="inlineStr"/>
    </row>
    <row r="113">
      <c r="A113" s="3" t="inlineStr">
        <is>
          <t>112</t>
        </is>
      </c>
      <c r="B113" s="3" t="inlineStr">
        <is>
          <t>NGS 260113</t>
        </is>
      </c>
      <c r="C113" s="4" t="n">
        <v>46104</v>
      </c>
      <c r="D113" s="3" t="inlineStr">
        <is>
          <t>March- 2026</t>
        </is>
      </c>
      <c r="E113" s="4" t="n">
        <v>46104</v>
      </c>
      <c r="F113" s="3" t="inlineStr">
        <is>
          <t>Dr.Dilip Gore</t>
        </is>
      </c>
      <c r="G113" s="3" t="inlineStr">
        <is>
          <t>Econext Unit Of Saibiosystems Pvt Ltd</t>
        </is>
      </c>
      <c r="H113" s="3" t="inlineStr">
        <is>
          <t>Econext Unit Of Saibiosystems Pvt Ltd</t>
        </is>
      </c>
      <c r="I113" s="3" t="inlineStr">
        <is>
          <t xml:space="preserve">Saibiosystems@gmail.com </t>
        </is>
      </c>
      <c r="J113" s="3" t="inlineStr">
        <is>
          <t>9923694262</t>
        </is>
      </c>
      <c r="K113" s="3" t="inlineStr">
        <is>
          <t>Bacterial Whole Genome Sequencing &amp; Analysis On Illumina Novaseq X Plus Platform</t>
        </is>
      </c>
      <c r="L113" s="3" t="inlineStr">
        <is>
          <t>Cell Pellets</t>
        </is>
      </c>
      <c r="M113" s="3" t="inlineStr">
        <is>
          <t>Wgs Seq</t>
        </is>
      </c>
      <c r="N113" s="3" t="inlineStr">
        <is>
          <t>With Analysis</t>
        </is>
      </c>
      <c r="O113" s="3" t="n">
        <v>1</v>
      </c>
      <c r="P113" s="3" t="inlineStr">
        <is>
          <t>1 GB/Sample</t>
        </is>
      </c>
      <c r="Q113" s="3" t="n">
        <v>1</v>
      </c>
      <c r="R113" s="3" t="n">
        <v>1</v>
      </c>
      <c r="S113" s="3" t="n">
        <v>11000</v>
      </c>
      <c r="T113" s="5" t="n">
        <v>11000</v>
      </c>
      <c r="U113" s="5" t="n">
        <v>1980</v>
      </c>
      <c r="V113" s="5" t="n">
        <v>12980</v>
      </c>
      <c r="W113" s="3" t="inlineStr">
        <is>
          <t>UG/NGS/TP/2602561</t>
        </is>
      </c>
      <c r="X113" s="3" t="inlineStr">
        <is>
          <t>Purushottam</t>
        </is>
      </c>
      <c r="Y113" s="3" t="inlineStr">
        <is>
          <t>West</t>
        </is>
      </c>
      <c r="Z113" s="3" t="inlineStr">
        <is>
          <t>Nagpur</t>
        </is>
      </c>
      <c r="AA113" s="3" t="n">
        <v>1</v>
      </c>
      <c r="AB113" s="3" t="n">
        <v>0</v>
      </c>
      <c r="AC113" s="4" t="n">
        <v>46113</v>
      </c>
      <c r="AD113" s="3" t="n">
        <v>9</v>
      </c>
      <c r="AE113" s="3" t="inlineStr">
        <is>
          <t>121</t>
        </is>
      </c>
      <c r="AF113" s="3" t="inlineStr"/>
      <c r="AG113" s="4" t="n">
        <v>46146</v>
      </c>
      <c r="AH113" s="3" t="inlineStr">
        <is>
          <t>UPL/GEN/2627/50</t>
        </is>
      </c>
      <c r="AI113" s="4" t="n">
        <v>46179</v>
      </c>
      <c r="AJ113" s="3" t="inlineStr">
        <is>
          <t xml:space="preserve"> Project Closure</t>
        </is>
      </c>
      <c r="AK113" s="5" t="n">
        <v>11000</v>
      </c>
      <c r="AL113" s="5" t="n">
        <v>1980</v>
      </c>
      <c r="AM113" s="5" t="n">
        <v>12980</v>
      </c>
      <c r="AN113" s="3" t="n">
        <v>40</v>
      </c>
      <c r="AO113" s="5" t="n">
        <v>12980</v>
      </c>
      <c r="AP113" s="5" t="n">
        <v>0</v>
      </c>
      <c r="AQ113" s="4" t="n">
        <v>46147</v>
      </c>
    </row>
    <row r="114">
      <c r="A114" s="3" t="inlineStr">
        <is>
          <t>113</t>
        </is>
      </c>
      <c r="B114" s="3" t="inlineStr">
        <is>
          <t>NGS 260114</t>
        </is>
      </c>
      <c r="C114" s="4" t="n">
        <v>46106</v>
      </c>
      <c r="D114" s="3" t="inlineStr">
        <is>
          <t>March- 2026</t>
        </is>
      </c>
      <c r="E114" s="4" t="n">
        <v>46112</v>
      </c>
      <c r="F114" s="3" t="inlineStr">
        <is>
          <t>Sudharson Narayanan</t>
        </is>
      </c>
      <c r="G114" s="3" t="inlineStr">
        <is>
          <t>Symbiont Life Sciences</t>
        </is>
      </c>
      <c r="H114" s="3" t="inlineStr">
        <is>
          <t>Symbiont Life Sciences</t>
        </is>
      </c>
      <c r="I114" s="3" t="inlineStr">
        <is>
          <t>symbiontcs@gmail.com</t>
        </is>
      </c>
      <c r="J114" s="3" t="inlineStr">
        <is>
          <t>8838222756</t>
        </is>
      </c>
      <c r="K114" s="3" t="inlineStr">
        <is>
          <t>Mitochondrial Genome Sequencing &amp; Analysis On Illumina Platforms</t>
        </is>
      </c>
      <c r="L114" s="3" t="inlineStr">
        <is>
          <t>Tissue</t>
        </is>
      </c>
      <c r="M114" s="3" t="inlineStr">
        <is>
          <t>Mito</t>
        </is>
      </c>
      <c r="N114" s="3" t="inlineStr">
        <is>
          <t>With Analysis</t>
        </is>
      </c>
      <c r="O114" s="3" t="n">
        <v>1</v>
      </c>
      <c r="P114" s="3" t="inlineStr">
        <is>
          <t>3 GB/sample</t>
        </is>
      </c>
      <c r="Q114" s="3" t="n">
        <v>3</v>
      </c>
      <c r="R114" s="3" t="n">
        <v>3</v>
      </c>
      <c r="S114" s="3" t="n">
        <v>15000</v>
      </c>
      <c r="T114" s="5" t="n">
        <v>15000</v>
      </c>
      <c r="U114" s="5" t="n">
        <v>2700</v>
      </c>
      <c r="V114" s="5" t="n">
        <v>17700</v>
      </c>
      <c r="W114" s="3" t="inlineStr">
        <is>
          <t>UG/NGS/TP/2309855</t>
        </is>
      </c>
      <c r="X114" s="3" t="inlineStr">
        <is>
          <t>Direct</t>
        </is>
      </c>
      <c r="Y114" s="3" t="inlineStr">
        <is>
          <t>South</t>
        </is>
      </c>
      <c r="Z114" s="3" t="inlineStr">
        <is>
          <t>Chennai</t>
        </is>
      </c>
      <c r="AA114" s="3" t="n">
        <v>1</v>
      </c>
      <c r="AB114" s="3" t="n">
        <v>0</v>
      </c>
      <c r="AC114" s="4" t="n">
        <v>46120</v>
      </c>
      <c r="AD114" s="3" t="n">
        <v>8</v>
      </c>
      <c r="AE114" s="3" t="inlineStr"/>
      <c r="AF114" s="3" t="inlineStr"/>
      <c r="AG114" s="3" t="inlineStr"/>
      <c r="AH114" s="3" t="inlineStr"/>
      <c r="AI114" s="3" t="inlineStr"/>
      <c r="AJ114" s="3" t="inlineStr"/>
      <c r="AK114" s="5" t="n">
        <v>15000</v>
      </c>
      <c r="AL114" s="5" t="n">
        <v>2700</v>
      </c>
      <c r="AM114" s="5" t="n">
        <v>17700</v>
      </c>
      <c r="AN114" s="3" t="inlineStr"/>
      <c r="AO114" s="5" t="n">
        <v>0</v>
      </c>
      <c r="AP114" s="5" t="n">
        <v>-17700</v>
      </c>
      <c r="AQ114" s="3" t="inlineStr"/>
    </row>
    <row r="115">
      <c r="A115" s="3" t="inlineStr">
        <is>
          <t>114</t>
        </is>
      </c>
      <c r="B115" s="3" t="inlineStr">
        <is>
          <t>NGS 260115</t>
        </is>
      </c>
      <c r="C115" s="4" t="n">
        <v>46106</v>
      </c>
      <c r="D115" s="3" t="inlineStr">
        <is>
          <t>March- 2026</t>
        </is>
      </c>
      <c r="E115" s="4" t="n">
        <v>46106</v>
      </c>
      <c r="F115" s="3" t="inlineStr">
        <is>
          <t>Mr.Digil</t>
        </is>
      </c>
      <c r="G115" s="3" t="inlineStr">
        <is>
          <t>Geno Connect Services Private Limited</t>
        </is>
      </c>
      <c r="H115" s="3" t="inlineStr">
        <is>
          <t>Geno Connect Services Private Limited</t>
        </is>
      </c>
      <c r="I115" s="3" t="inlineStr">
        <is>
          <t>Genoconnect.pvt.ltd@gmail.com</t>
        </is>
      </c>
      <c r="J115" s="3" t="inlineStr">
        <is>
          <t>9400039514</t>
        </is>
      </c>
      <c r="K115" s="3" t="inlineStr">
        <is>
          <t>Low Pass Whole Genome Sequencing On Illumina Novaseq X Plus Platform</t>
        </is>
      </c>
      <c r="L115" s="3" t="inlineStr">
        <is>
          <t>Swab Samples</t>
        </is>
      </c>
      <c r="M115" s="3" t="inlineStr">
        <is>
          <t>Low Pass Wgs</t>
        </is>
      </c>
      <c r="N115" s="3" t="inlineStr">
        <is>
          <t xml:space="preserve">Without Analysis </t>
        </is>
      </c>
      <c r="O115" s="3" t="n">
        <v>1</v>
      </c>
      <c r="P115" s="3" t="inlineStr">
        <is>
          <t>3 GB/Sample</t>
        </is>
      </c>
      <c r="Q115" s="3" t="n">
        <v>3</v>
      </c>
      <c r="R115" s="3" t="n">
        <v>3</v>
      </c>
      <c r="S115" s="3" t="n">
        <v>3000</v>
      </c>
      <c r="T115" s="5" t="n">
        <v>3000</v>
      </c>
      <c r="U115" s="5" t="n">
        <v>540</v>
      </c>
      <c r="V115" s="5" t="n">
        <v>3540</v>
      </c>
      <c r="W115" s="3" t="inlineStr">
        <is>
          <t>UG/NGS/TP/2512388R1</t>
        </is>
      </c>
      <c r="X115" s="3" t="inlineStr">
        <is>
          <t>Direct</t>
        </is>
      </c>
      <c r="Y115" s="3" t="inlineStr">
        <is>
          <t>South</t>
        </is>
      </c>
      <c r="Z115" s="3" t="inlineStr">
        <is>
          <t>N/A</t>
        </is>
      </c>
      <c r="AA115" s="3" t="n">
        <v>1</v>
      </c>
      <c r="AB115" s="3" t="n">
        <v>0</v>
      </c>
      <c r="AC115" s="4" t="n">
        <v>46113</v>
      </c>
      <c r="AD115" s="3" t="n">
        <v>7</v>
      </c>
      <c r="AE115" s="3" t="inlineStr">
        <is>
          <t>115</t>
        </is>
      </c>
      <c r="AF115" s="4" t="n">
        <v>46126</v>
      </c>
      <c r="AG115" s="3" t="inlineStr"/>
      <c r="AH115" s="3" t="inlineStr">
        <is>
          <t>UPL/GEN/2627/39</t>
        </is>
      </c>
      <c r="AI115" s="4" t="n">
        <v>46171</v>
      </c>
      <c r="AJ115" s="3" t="inlineStr">
        <is>
          <t xml:space="preserve"> Project Closure</t>
        </is>
      </c>
      <c r="AK115" s="5" t="n">
        <v>3000</v>
      </c>
      <c r="AL115" s="5" t="n">
        <v>540</v>
      </c>
      <c r="AM115" s="5" t="n">
        <v>3540</v>
      </c>
      <c r="AN115" s="3" t="n">
        <v>48</v>
      </c>
      <c r="AO115" s="5" t="n">
        <v>3540</v>
      </c>
      <c r="AP115" s="5" t="n">
        <v>0</v>
      </c>
      <c r="AQ115" s="4" t="n">
        <v>46122</v>
      </c>
    </row>
    <row r="116">
      <c r="A116" s="3" t="inlineStr">
        <is>
          <t>115</t>
        </is>
      </c>
      <c r="B116" s="3" t="inlineStr">
        <is>
          <t>NGS 260116</t>
        </is>
      </c>
      <c r="C116" s="4" t="n">
        <v>46106</v>
      </c>
      <c r="D116" s="3" t="inlineStr">
        <is>
          <t>March- 2026</t>
        </is>
      </c>
      <c r="E116" s="4" t="n">
        <v>46112</v>
      </c>
      <c r="F116" s="3" t="inlineStr">
        <is>
          <t>Dr. Saikat Bhattacharjee</t>
        </is>
      </c>
      <c r="G116" s="3" t="inlineStr">
        <is>
          <t>Rcb</t>
        </is>
      </c>
      <c r="H116" s="3" t="inlineStr">
        <is>
          <t>Rcb</t>
        </is>
      </c>
      <c r="I116" s="3" t="inlineStr">
        <is>
          <t>eyasu.wada@rcb.res.in ,saikat@rcb.res.in</t>
        </is>
      </c>
      <c r="J116" s="3" t="inlineStr">
        <is>
          <t>98186 22098</t>
        </is>
      </c>
      <c r="K116" s="3" t="inlineStr">
        <is>
          <t>Transcriptome Sequencing &amp; Analysis On Illumina Novaseq X Plus Platform</t>
        </is>
      </c>
      <c r="L116" s="3" t="inlineStr">
        <is>
          <t>Leaf</t>
        </is>
      </c>
      <c r="M116" s="3" t="inlineStr">
        <is>
          <t>Wts Seq</t>
        </is>
      </c>
      <c r="N116" s="3" t="inlineStr">
        <is>
          <t>With Analysis</t>
        </is>
      </c>
      <c r="O116" s="3" t="n">
        <v>3</v>
      </c>
      <c r="P116" s="3" t="inlineStr">
        <is>
          <t>8-10 GB/Sample</t>
        </is>
      </c>
      <c r="Q116" s="3" t="n">
        <v>6</v>
      </c>
      <c r="R116" s="3" t="n">
        <v>18</v>
      </c>
      <c r="S116" s="3" t="n">
        <v>15000</v>
      </c>
      <c r="T116" s="5" t="n">
        <v>45000</v>
      </c>
      <c r="U116" s="5" t="n">
        <v>8100</v>
      </c>
      <c r="V116" s="5" t="n">
        <v>53100</v>
      </c>
      <c r="W116" s="3" t="inlineStr">
        <is>
          <t>UG/NGS/TP/2512423</t>
        </is>
      </c>
      <c r="X116" s="3" t="inlineStr">
        <is>
          <t xml:space="preserve">Nem Singh </t>
        </is>
      </c>
      <c r="Y116" s="3" t="inlineStr">
        <is>
          <t>North</t>
        </is>
      </c>
      <c r="Z116" s="3" t="inlineStr">
        <is>
          <t>Faridabad</t>
        </is>
      </c>
      <c r="AA116" s="3" t="n">
        <v>3</v>
      </c>
      <c r="AB116" s="3" t="n">
        <v>0</v>
      </c>
      <c r="AC116" s="4" t="n">
        <v>46116</v>
      </c>
      <c r="AD116" s="3" t="n">
        <v>4</v>
      </c>
      <c r="AE116" s="3" t="inlineStr">
        <is>
          <t>120</t>
        </is>
      </c>
      <c r="AF116" s="4" t="n">
        <v>46143</v>
      </c>
      <c r="AG116" s="4" t="n">
        <v>46176</v>
      </c>
      <c r="AH116" s="3" t="inlineStr">
        <is>
          <t>UPL/GEN/388/2526</t>
        </is>
      </c>
      <c r="AI116" s="4" t="n">
        <v>46102</v>
      </c>
      <c r="AJ116" s="3" t="inlineStr">
        <is>
          <t xml:space="preserve"> Project Closure</t>
        </is>
      </c>
      <c r="AK116" s="5" t="n">
        <v>45000</v>
      </c>
      <c r="AL116" s="5" t="n">
        <v>8100</v>
      </c>
      <c r="AM116" s="5" t="n">
        <v>53100</v>
      </c>
      <c r="AN116" s="3" t="n">
        <v>117</v>
      </c>
      <c r="AO116" s="5" t="n">
        <v>53100</v>
      </c>
      <c r="AP116" s="5" t="n">
        <v>0</v>
      </c>
      <c r="AQ116" s="4" t="n">
        <v>46154</v>
      </c>
    </row>
    <row r="117">
      <c r="A117" s="3" t="inlineStr">
        <is>
          <t>116</t>
        </is>
      </c>
      <c r="B117" s="3" t="inlineStr">
        <is>
          <t>NGS 260117</t>
        </is>
      </c>
      <c r="C117" s="4" t="n">
        <v>46106</v>
      </c>
      <c r="D117" s="3" t="inlineStr">
        <is>
          <t>March- 2026</t>
        </is>
      </c>
      <c r="E117" s="4" t="n">
        <v>46111</v>
      </c>
      <c r="F117" s="3" t="inlineStr">
        <is>
          <t>Dr. Saikat Bhattacharjee</t>
        </is>
      </c>
      <c r="G117" s="3" t="inlineStr">
        <is>
          <t>Rcb</t>
        </is>
      </c>
      <c r="H117" s="3" t="inlineStr">
        <is>
          <t>Rcb</t>
        </is>
      </c>
      <c r="I117" s="3" t="inlineStr">
        <is>
          <t>eyasu.wada@rcb.res.in ,saikat@rcb.res.in</t>
        </is>
      </c>
      <c r="J117" s="3" t="inlineStr">
        <is>
          <t>98186 22098</t>
        </is>
      </c>
      <c r="K117" s="3" t="inlineStr">
        <is>
          <t>Transcriptome Sequencing &amp; Analysis On Illumina Novaseq X Plus Platform</t>
        </is>
      </c>
      <c r="L117" s="3" t="inlineStr">
        <is>
          <t>Leaf</t>
        </is>
      </c>
      <c r="M117" s="3" t="inlineStr">
        <is>
          <t>Wts Seq</t>
        </is>
      </c>
      <c r="N117" s="3" t="inlineStr">
        <is>
          <t>With Analysis</t>
        </is>
      </c>
      <c r="O117" s="3" t="n">
        <v>3</v>
      </c>
      <c r="P117" s="3" t="inlineStr">
        <is>
          <t>8-10 GB/Sample</t>
        </is>
      </c>
      <c r="Q117" s="3" t="n">
        <v>6</v>
      </c>
      <c r="R117" s="3" t="n">
        <v>18</v>
      </c>
      <c r="S117" s="3" t="n">
        <v>15000</v>
      </c>
      <c r="T117" s="5" t="n">
        <v>45000</v>
      </c>
      <c r="U117" s="5" t="n">
        <v>8100</v>
      </c>
      <c r="V117" s="5" t="n">
        <v>53100</v>
      </c>
      <c r="W117" s="3" t="inlineStr">
        <is>
          <t>UG/NGS/TP/2512423</t>
        </is>
      </c>
      <c r="X117" s="3" t="inlineStr">
        <is>
          <t xml:space="preserve">Nem Singh </t>
        </is>
      </c>
      <c r="Y117" s="3" t="inlineStr">
        <is>
          <t>North</t>
        </is>
      </c>
      <c r="Z117" s="3" t="inlineStr">
        <is>
          <t>Faridabad</t>
        </is>
      </c>
      <c r="AA117" s="3" t="n">
        <v>3</v>
      </c>
      <c r="AB117" s="3" t="n">
        <v>0</v>
      </c>
      <c r="AC117" s="4" t="n">
        <v>46116</v>
      </c>
      <c r="AD117" s="3" t="n">
        <v>5</v>
      </c>
      <c r="AE117" s="3" t="inlineStr">
        <is>
          <t>120</t>
        </is>
      </c>
      <c r="AF117" s="4" t="n">
        <v>46143</v>
      </c>
      <c r="AG117" s="4" t="n">
        <v>46176</v>
      </c>
      <c r="AH117" s="3" t="inlineStr">
        <is>
          <t>UPL/GEN/388/2526</t>
        </is>
      </c>
      <c r="AI117" s="4" t="n">
        <v>46102</v>
      </c>
      <c r="AJ117" s="3" t="inlineStr">
        <is>
          <t xml:space="preserve"> Project Closure</t>
        </is>
      </c>
      <c r="AK117" s="5" t="n">
        <v>45000</v>
      </c>
      <c r="AL117" s="5" t="n">
        <v>8100</v>
      </c>
      <c r="AM117" s="5" t="n">
        <v>53100</v>
      </c>
      <c r="AN117" s="3" t="n">
        <v>117</v>
      </c>
      <c r="AO117" s="5" t="n">
        <v>53100</v>
      </c>
      <c r="AP117" s="5" t="n">
        <v>0</v>
      </c>
      <c r="AQ117" s="4" t="n">
        <v>46154</v>
      </c>
    </row>
    <row r="118">
      <c r="A118" s="3" t="inlineStr">
        <is>
          <t>117</t>
        </is>
      </c>
      <c r="B118" s="3" t="inlineStr">
        <is>
          <t>NGS 260118</t>
        </is>
      </c>
      <c r="C118" s="4" t="n">
        <v>46106</v>
      </c>
      <c r="D118" s="3" t="inlineStr">
        <is>
          <t>March- 2026</t>
        </is>
      </c>
      <c r="E118" s="4" t="n">
        <v>46112</v>
      </c>
      <c r="F118" s="3" t="inlineStr">
        <is>
          <t>Irfan</t>
        </is>
      </c>
      <c r="G118" s="3" t="inlineStr">
        <is>
          <t>Invitro Lab Services</t>
        </is>
      </c>
      <c r="H118" s="3" t="inlineStr">
        <is>
          <t>Invitro Lab Services</t>
        </is>
      </c>
      <c r="I118" s="3" t="inlineStr">
        <is>
          <t>irfan@invitrolabservices.com</t>
        </is>
      </c>
      <c r="J118" s="3" t="inlineStr"/>
      <c r="K118" s="3" t="inlineStr">
        <is>
          <t>RNA Sequencing &amp; Analysis On Illumina Novaseq X Plus Platform</t>
        </is>
      </c>
      <c r="L118" s="3" t="inlineStr">
        <is>
          <t>RNA</t>
        </is>
      </c>
      <c r="M118" s="3" t="inlineStr">
        <is>
          <t>Wts Seq</t>
        </is>
      </c>
      <c r="N118" s="3" t="inlineStr">
        <is>
          <t>With Analysis</t>
        </is>
      </c>
      <c r="O118" s="3" t="n">
        <v>12</v>
      </c>
      <c r="P118" s="3" t="inlineStr">
        <is>
          <t>6-8 GB/Sample</t>
        </is>
      </c>
      <c r="Q118" s="3" t="n">
        <v>8</v>
      </c>
      <c r="R118" s="3" t="n">
        <v>96</v>
      </c>
      <c r="S118" s="3" t="n">
        <v>15255</v>
      </c>
      <c r="T118" s="5" t="n">
        <v>183060</v>
      </c>
      <c r="U118" s="5" t="n">
        <v>32950.8</v>
      </c>
      <c r="V118" s="5" t="n">
        <v>216010.8</v>
      </c>
      <c r="W118" s="3" t="inlineStr">
        <is>
          <t>UG/NGS/TP/2603631</t>
        </is>
      </c>
      <c r="X118" s="3" t="inlineStr">
        <is>
          <t>Direct</t>
        </is>
      </c>
      <c r="Y118" s="3" t="inlineStr">
        <is>
          <t>North</t>
        </is>
      </c>
      <c r="Z118" s="3" t="inlineStr">
        <is>
          <t>Delhi</t>
        </is>
      </c>
      <c r="AA118" s="3" t="n">
        <v>11</v>
      </c>
      <c r="AB118" s="3" t="n">
        <v>1</v>
      </c>
      <c r="AC118" s="4" t="n">
        <v>46113</v>
      </c>
      <c r="AD118" s="3" t="n">
        <v>1</v>
      </c>
      <c r="AE118" s="3" t="inlineStr">
        <is>
          <t>118 &amp; 119</t>
        </is>
      </c>
      <c r="AF118" s="3" t="inlineStr"/>
      <c r="AG118" s="3" t="inlineStr"/>
      <c r="AH118" s="3" t="inlineStr"/>
      <c r="AI118" s="3" t="inlineStr"/>
      <c r="AJ118" s="3" t="inlineStr"/>
      <c r="AK118" s="5" t="n">
        <v>167805</v>
      </c>
      <c r="AL118" s="5" t="n">
        <v>30204.9</v>
      </c>
      <c r="AM118" s="5" t="n">
        <v>198009.9</v>
      </c>
      <c r="AN118" s="3" t="inlineStr"/>
      <c r="AO118" s="5" t="n">
        <v>0</v>
      </c>
      <c r="AP118" s="5" t="n">
        <v>-198009.9</v>
      </c>
      <c r="AQ118" s="3" t="inlineStr"/>
    </row>
    <row r="119">
      <c r="A119" s="3" t="inlineStr">
        <is>
          <t>118</t>
        </is>
      </c>
      <c r="B119" s="3" t="inlineStr">
        <is>
          <t>NGS 260119</t>
        </is>
      </c>
      <c r="C119" s="4" t="n">
        <v>46109</v>
      </c>
      <c r="D119" s="3" t="inlineStr">
        <is>
          <t>March- 2026</t>
        </is>
      </c>
      <c r="E119" s="4" t="n">
        <v>46111</v>
      </c>
      <c r="F119" s="3" t="inlineStr">
        <is>
          <t>Abhishek Tripathi</t>
        </is>
      </c>
      <c r="G119" s="3" t="inlineStr">
        <is>
          <t>Novelgene Technology Private Limited</t>
        </is>
      </c>
      <c r="H119" s="3" t="inlineStr">
        <is>
          <t>Novelgene Technology Private Limited</t>
        </is>
      </c>
      <c r="I119" s="3" t="inlineStr">
        <is>
          <t>abhishek@novelgenetech.com</t>
        </is>
      </c>
      <c r="J119" s="3" t="inlineStr">
        <is>
          <t>89777 41872</t>
        </is>
      </c>
      <c r="K119" s="3" t="inlineStr">
        <is>
          <t>Transcriptome Sequencing On Illumina Novaseq X Plus Platform</t>
        </is>
      </c>
      <c r="L119" s="3" t="inlineStr">
        <is>
          <t>Tissue</t>
        </is>
      </c>
      <c r="M119" s="3" t="inlineStr">
        <is>
          <t>Wts Seq</t>
        </is>
      </c>
      <c r="N119" s="3" t="inlineStr">
        <is>
          <t xml:space="preserve">Without Analysis </t>
        </is>
      </c>
      <c r="O119" s="3" t="n">
        <v>24</v>
      </c>
      <c r="P119" s="3" t="inlineStr">
        <is>
          <t>4-5 GB/Sample</t>
        </is>
      </c>
      <c r="Q119" s="3" t="n">
        <v>5</v>
      </c>
      <c r="R119" s="3" t="n">
        <v>120</v>
      </c>
      <c r="S119" s="3" t="n">
        <v>8000</v>
      </c>
      <c r="T119" s="5" t="n">
        <v>192000</v>
      </c>
      <c r="U119" s="5" t="n">
        <v>34560</v>
      </c>
      <c r="V119" s="5" t="n">
        <v>226560</v>
      </c>
      <c r="W119" s="3" t="inlineStr">
        <is>
          <t>UG/NGS/TP/2603625R1</t>
        </is>
      </c>
      <c r="X119" s="3" t="inlineStr">
        <is>
          <t xml:space="preserve">Harsh </t>
        </is>
      </c>
      <c r="Y119" s="3" t="inlineStr">
        <is>
          <t>Telangana</t>
        </is>
      </c>
      <c r="Z119" s="3" t="inlineStr">
        <is>
          <t>Hyderabad</t>
        </is>
      </c>
      <c r="AA119" s="3" t="n">
        <v>24</v>
      </c>
      <c r="AB119" s="3" t="n">
        <v>0</v>
      </c>
      <c r="AC119" s="4" t="n">
        <v>46119</v>
      </c>
      <c r="AD119" s="3" t="n">
        <v>8</v>
      </c>
      <c r="AE119" s="3" t="inlineStr">
        <is>
          <t>124</t>
        </is>
      </c>
      <c r="AF119" s="4" t="n">
        <v>46203</v>
      </c>
      <c r="AG119" s="3" t="inlineStr"/>
      <c r="AH119" s="3" t="inlineStr">
        <is>
          <t>UPL/GEN/2627/56</t>
        </is>
      </c>
      <c r="AI119" s="4" t="n">
        <v>46192</v>
      </c>
      <c r="AJ119" s="3" t="inlineStr">
        <is>
          <t xml:space="preserve"> Project Closure</t>
        </is>
      </c>
      <c r="AK119" s="5" t="n">
        <v>192000</v>
      </c>
      <c r="AL119" s="5" t="n">
        <v>34560</v>
      </c>
      <c r="AM119" s="5" t="n">
        <v>226560</v>
      </c>
      <c r="AN119" s="3" t="n">
        <v>27</v>
      </c>
      <c r="AO119" s="5" t="n">
        <v>0</v>
      </c>
      <c r="AP119" s="5" t="n">
        <v>-226560</v>
      </c>
      <c r="AQ119" s="3" t="inlineStr"/>
    </row>
    <row r="120">
      <c r="A120" s="3" t="inlineStr">
        <is>
          <t>119</t>
        </is>
      </c>
      <c r="B120" s="3" t="inlineStr">
        <is>
          <t>NGS 260120</t>
        </is>
      </c>
      <c r="C120" s="4" t="n">
        <v>46113</v>
      </c>
      <c r="D120" s="3" t="inlineStr">
        <is>
          <t>April- 2026</t>
        </is>
      </c>
      <c r="E120" s="4" t="n">
        <v>46114</v>
      </c>
      <c r="F120" s="3" t="inlineStr">
        <is>
          <t>Sandra Vs</t>
        </is>
      </c>
      <c r="G120" s="3" t="inlineStr">
        <is>
          <t>Government Women'S College</t>
        </is>
      </c>
      <c r="H120" s="3" t="inlineStr">
        <is>
          <t>Government Women'S College</t>
        </is>
      </c>
      <c r="I120" s="3" t="inlineStr">
        <is>
          <t>sandravs252001@gmail.com</t>
        </is>
      </c>
      <c r="J120" s="3" t="inlineStr"/>
      <c r="K120" s="3" t="inlineStr">
        <is>
          <t>Whole Metagenome Sequencing &amp; Analysis On Illumina Novaseq X Plus Platform</t>
        </is>
      </c>
      <c r="L120" s="3" t="inlineStr">
        <is>
          <t>Soil Microbes</t>
        </is>
      </c>
      <c r="M120" s="3" t="inlineStr">
        <is>
          <t>Wms</t>
        </is>
      </c>
      <c r="N120" s="3" t="inlineStr">
        <is>
          <t>With Analysis</t>
        </is>
      </c>
      <c r="O120" s="3" t="n">
        <v>2</v>
      </c>
      <c r="P120" s="3" t="inlineStr">
        <is>
          <t>5-6 GB / sample</t>
        </is>
      </c>
      <c r="Q120" s="3" t="n">
        <v>6</v>
      </c>
      <c r="R120" s="3" t="n">
        <v>12</v>
      </c>
      <c r="S120" s="3" t="n">
        <v>15000</v>
      </c>
      <c r="T120" s="5" t="n">
        <v>30000</v>
      </c>
      <c r="U120" s="5" t="n">
        <v>5400</v>
      </c>
      <c r="V120" s="5" t="n">
        <v>35400</v>
      </c>
      <c r="W120" s="3" t="inlineStr">
        <is>
          <t>UG/NGS/TP/2504691R1</t>
        </is>
      </c>
      <c r="X120" s="3" t="inlineStr">
        <is>
          <t xml:space="preserve">Theertha </t>
        </is>
      </c>
      <c r="Y120" s="3" t="inlineStr">
        <is>
          <t>Kerala</t>
        </is>
      </c>
      <c r="Z120" s="3" t="inlineStr">
        <is>
          <t>Thiruvananthapuram</t>
        </is>
      </c>
      <c r="AA120" s="3" t="n">
        <v>2</v>
      </c>
      <c r="AB120" s="3" t="n">
        <v>0</v>
      </c>
      <c r="AC120" s="4" t="n">
        <v>46118</v>
      </c>
      <c r="AD120" s="3" t="n">
        <v>4</v>
      </c>
      <c r="AE120" s="3" t="inlineStr">
        <is>
          <t>117</t>
        </is>
      </c>
      <c r="AF120" s="3" t="inlineStr"/>
      <c r="AG120" s="4" t="n">
        <v>46183</v>
      </c>
      <c r="AH120" s="3" t="inlineStr"/>
      <c r="AI120" s="3" t="inlineStr"/>
      <c r="AJ120" s="3" t="inlineStr">
        <is>
          <t xml:space="preserve"> Project Closure</t>
        </is>
      </c>
      <c r="AK120" s="5" t="n">
        <v>30000</v>
      </c>
      <c r="AL120" s="5" t="n">
        <v>5400</v>
      </c>
      <c r="AM120" s="5" t="n">
        <v>35400</v>
      </c>
      <c r="AN120" s="3" t="inlineStr"/>
      <c r="AO120" s="5" t="n">
        <v>0</v>
      </c>
      <c r="AP120" s="5" t="n">
        <v>-35400</v>
      </c>
      <c r="AQ120" s="3" t="inlineStr"/>
    </row>
    <row r="121">
      <c r="A121" s="3" t="inlineStr">
        <is>
          <t>120</t>
        </is>
      </c>
      <c r="B121" s="3" t="inlineStr">
        <is>
          <t>NGS 260121</t>
        </is>
      </c>
      <c r="C121" s="4" t="n">
        <v>46113</v>
      </c>
      <c r="D121" s="3" t="inlineStr">
        <is>
          <t>April- 2026</t>
        </is>
      </c>
      <c r="E121" s="4" t="n">
        <v>46114</v>
      </c>
      <c r="F121" s="3" t="inlineStr">
        <is>
          <t>Dr K.Radhakrishnan</t>
        </is>
      </c>
      <c r="G121" s="3" t="inlineStr">
        <is>
          <t>Kngac</t>
        </is>
      </c>
      <c r="H121" s="3" t="inlineStr">
        <is>
          <t>Discovery Scientifics</t>
        </is>
      </c>
      <c r="I121" s="3" t="inlineStr">
        <is>
          <t>kiradha145@gmail.com</t>
        </is>
      </c>
      <c r="J121" s="3" t="inlineStr">
        <is>
          <t>8681917636</t>
        </is>
      </c>
      <c r="K121" s="3" t="inlineStr">
        <is>
          <t>Whole Genome Metagenome Sequencing &amp; Analysis On Illumina Novaseq X Plus Platform</t>
        </is>
      </c>
      <c r="L121" s="3" t="inlineStr">
        <is>
          <t>Soil</t>
        </is>
      </c>
      <c r="M121" s="3" t="inlineStr">
        <is>
          <t>Wgms</t>
        </is>
      </c>
      <c r="N121" s="3" t="inlineStr">
        <is>
          <t>With Analysis</t>
        </is>
      </c>
      <c r="O121" s="3" t="n">
        <v>1</v>
      </c>
      <c r="P121" s="3" t="inlineStr">
        <is>
          <t>3 GB/ sample</t>
        </is>
      </c>
      <c r="Q121" s="3" t="n">
        <v>3</v>
      </c>
      <c r="R121" s="3" t="n">
        <v>3</v>
      </c>
      <c r="S121" s="3" t="n">
        <v>8000</v>
      </c>
      <c r="T121" s="5" t="n">
        <v>8000</v>
      </c>
      <c r="U121" s="5" t="n">
        <v>1440</v>
      </c>
      <c r="V121" s="5" t="n">
        <v>9440</v>
      </c>
      <c r="W121" s="3" t="inlineStr">
        <is>
          <t>UG/NGS/TP/2603612</t>
        </is>
      </c>
      <c r="X121" s="3" t="inlineStr">
        <is>
          <t>Direct</t>
        </is>
      </c>
      <c r="Y121" s="3" t="inlineStr">
        <is>
          <t>South</t>
        </is>
      </c>
      <c r="Z121" s="3" t="inlineStr">
        <is>
          <t>Chennai</t>
        </is>
      </c>
      <c r="AA121" s="3" t="n">
        <v>1</v>
      </c>
      <c r="AB121" s="3" t="n">
        <v>0</v>
      </c>
      <c r="AC121" s="4" t="n">
        <v>46118</v>
      </c>
      <c r="AD121" s="3" t="n">
        <v>4</v>
      </c>
      <c r="AE121" s="3" t="inlineStr">
        <is>
          <t>117</t>
        </is>
      </c>
      <c r="AF121" s="3" t="inlineStr"/>
      <c r="AG121" s="4" t="n">
        <v>46183</v>
      </c>
      <c r="AH121" s="3" t="inlineStr"/>
      <c r="AI121" s="3" t="inlineStr"/>
      <c r="AJ121" s="3" t="inlineStr">
        <is>
          <t xml:space="preserve"> Project Closure</t>
        </is>
      </c>
      <c r="AK121" s="5" t="n">
        <v>8000</v>
      </c>
      <c r="AL121" s="5" t="n">
        <v>1440</v>
      </c>
      <c r="AM121" s="5" t="n">
        <v>9440</v>
      </c>
      <c r="AN121" s="3" t="inlineStr"/>
      <c r="AO121" s="5" t="n">
        <v>0</v>
      </c>
      <c r="AP121" s="5" t="n">
        <v>-9440</v>
      </c>
      <c r="AQ121" s="3" t="inlineStr"/>
    </row>
    <row r="122">
      <c r="A122" s="3" t="inlineStr">
        <is>
          <t>121</t>
        </is>
      </c>
      <c r="B122" s="3" t="inlineStr">
        <is>
          <t>NGS 260122</t>
        </is>
      </c>
      <c r="C122" s="4" t="n">
        <v>46114</v>
      </c>
      <c r="D122" s="3" t="inlineStr">
        <is>
          <t>April- 2026</t>
        </is>
      </c>
      <c r="E122" s="4" t="n">
        <v>46115</v>
      </c>
      <c r="F122" s="3" t="inlineStr">
        <is>
          <t>Dr. Sai Prasad Pydi</t>
        </is>
      </c>
      <c r="G122" s="3" t="inlineStr">
        <is>
          <t>IIT, Kanpur</t>
        </is>
      </c>
      <c r="H122" s="3" t="inlineStr">
        <is>
          <t>IIT Kanpur</t>
        </is>
      </c>
      <c r="I122" s="3" t="inlineStr">
        <is>
          <t>harendray21@iitk.ac.in</t>
        </is>
      </c>
      <c r="J122" s="3" t="inlineStr">
        <is>
          <t>9129820586</t>
        </is>
      </c>
      <c r="K122" s="3" t="inlineStr">
        <is>
          <t>Ready To Run Library Service</t>
        </is>
      </c>
      <c r="L122" s="3" t="inlineStr">
        <is>
          <t>Atac Library</t>
        </is>
      </c>
      <c r="M122" s="3" t="inlineStr">
        <is>
          <t>R2R</t>
        </is>
      </c>
      <c r="N122" s="3" t="inlineStr">
        <is>
          <t xml:space="preserve">Without Analysis </t>
        </is>
      </c>
      <c r="O122" s="3" t="n">
        <v>2</v>
      </c>
      <c r="P122" s="3" t="inlineStr">
        <is>
          <t>8 GB/Sample</t>
        </is>
      </c>
      <c r="Q122" s="3" t="n">
        <v>8</v>
      </c>
      <c r="R122" s="3" t="n">
        <v>16</v>
      </c>
      <c r="S122" s="3" t="n">
        <v>800</v>
      </c>
      <c r="T122" s="5" t="n">
        <v>1600</v>
      </c>
      <c r="U122" s="5" t="n">
        <v>288</v>
      </c>
      <c r="V122" s="5" t="n">
        <v>1888</v>
      </c>
      <c r="W122" s="3" t="inlineStr">
        <is>
          <t>UG/NGS/TP/2603626</t>
        </is>
      </c>
      <c r="X122" s="3" t="inlineStr">
        <is>
          <t>Ravi Singh</t>
        </is>
      </c>
      <c r="Y122" s="3" t="inlineStr">
        <is>
          <t>Up</t>
        </is>
      </c>
      <c r="Z122" s="3" t="inlineStr">
        <is>
          <t>Kanpur</t>
        </is>
      </c>
      <c r="AA122" s="3" t="n">
        <v>0</v>
      </c>
      <c r="AB122" s="3" t="n">
        <v>2</v>
      </c>
      <c r="AC122" s="4" t="n">
        <v>46116</v>
      </c>
      <c r="AD122" s="3" t="n">
        <v>1</v>
      </c>
      <c r="AE122" s="3" t="inlineStr"/>
      <c r="AF122" s="3" t="inlineStr"/>
      <c r="AG122" s="3" t="inlineStr"/>
      <c r="AH122" s="3" t="inlineStr"/>
      <c r="AI122" s="3" t="inlineStr"/>
      <c r="AJ122" s="3" t="inlineStr">
        <is>
          <t>QC Fail</t>
        </is>
      </c>
      <c r="AK122" s="5" t="n">
        <v>0</v>
      </c>
      <c r="AL122" s="5" t="n">
        <v>0</v>
      </c>
      <c r="AM122" s="5" t="n">
        <v>0</v>
      </c>
      <c r="AN122" s="3" t="inlineStr"/>
      <c r="AO122" s="5" t="n">
        <v>0</v>
      </c>
      <c r="AP122" s="5" t="n">
        <v>0</v>
      </c>
      <c r="AQ122" s="3" t="inlineStr"/>
    </row>
    <row r="123">
      <c r="A123" s="3" t="inlineStr">
        <is>
          <t>122</t>
        </is>
      </c>
      <c r="B123" s="3" t="inlineStr">
        <is>
          <t>NGS 260123</t>
        </is>
      </c>
      <c r="C123" s="4" t="n">
        <v>46118</v>
      </c>
      <c r="D123" s="3" t="inlineStr">
        <is>
          <t>April- 2026</t>
        </is>
      </c>
      <c r="E123" s="4" t="n">
        <v>46118</v>
      </c>
      <c r="F123" s="3" t="inlineStr">
        <is>
          <t>Dr. Juhi Tayal</t>
        </is>
      </c>
      <c r="G123" s="3" t="inlineStr">
        <is>
          <t>Rgcirc, Delhi</t>
        </is>
      </c>
      <c r="H123" s="3" t="inlineStr">
        <is>
          <t>Rgcirc, Delhi</t>
        </is>
      </c>
      <c r="I123" s="3" t="inlineStr">
        <is>
          <t>juhitayal76@gmail.com</t>
        </is>
      </c>
      <c r="J123" s="3" t="inlineStr"/>
      <c r="K123" s="3" t="inlineStr">
        <is>
          <t>Mrna Sequencing On Illumina Novaseq X Plus Platform</t>
        </is>
      </c>
      <c r="L123" s="3" t="inlineStr">
        <is>
          <t>Human Tissue</t>
        </is>
      </c>
      <c r="M123" s="3" t="inlineStr">
        <is>
          <t>Mrna Seq</t>
        </is>
      </c>
      <c r="N123" s="3" t="inlineStr">
        <is>
          <t xml:space="preserve">Without Analysis </t>
        </is>
      </c>
      <c r="O123" s="3" t="n">
        <v>10</v>
      </c>
      <c r="P123" s="3" t="inlineStr">
        <is>
          <t>8-9 GB/Sample</t>
        </is>
      </c>
      <c r="Q123" s="3" t="n">
        <v>9</v>
      </c>
      <c r="R123" s="3" t="n">
        <v>90</v>
      </c>
      <c r="S123" s="3" t="n">
        <v>10500</v>
      </c>
      <c r="T123" s="5" t="n">
        <v>105000</v>
      </c>
      <c r="U123" s="5" t="n">
        <v>18900</v>
      </c>
      <c r="V123" s="5" t="n">
        <v>123900</v>
      </c>
      <c r="W123" s="3" t="inlineStr">
        <is>
          <t>UG/NGS/TP/2509140R1</t>
        </is>
      </c>
      <c r="X123" s="3" t="inlineStr">
        <is>
          <t xml:space="preserve">Harsh </t>
        </is>
      </c>
      <c r="Y123" s="3" t="inlineStr">
        <is>
          <t>Delhi</t>
        </is>
      </c>
      <c r="Z123" s="3" t="inlineStr">
        <is>
          <t>Delhi</t>
        </is>
      </c>
      <c r="AA123" s="3" t="n">
        <v>10</v>
      </c>
      <c r="AB123" s="3" t="n">
        <v>0</v>
      </c>
      <c r="AC123" s="4" t="n">
        <v>46120</v>
      </c>
      <c r="AD123" s="3" t="n">
        <v>2</v>
      </c>
      <c r="AE123" s="3" t="inlineStr">
        <is>
          <t>120 &amp; 121</t>
        </is>
      </c>
      <c r="AF123" s="4" t="n">
        <v>46143</v>
      </c>
      <c r="AG123" s="3" t="inlineStr"/>
      <c r="AH123" s="3" t="inlineStr">
        <is>
          <t>UPL/GEN/266/2526</t>
        </is>
      </c>
      <c r="AI123" s="3" t="inlineStr"/>
      <c r="AJ123" s="3" t="inlineStr">
        <is>
          <t xml:space="preserve"> Project Closure</t>
        </is>
      </c>
      <c r="AK123" s="5" t="n">
        <v>105000</v>
      </c>
      <c r="AL123" s="5" t="n">
        <v>18900</v>
      </c>
      <c r="AM123" s="5" t="n">
        <v>123900</v>
      </c>
      <c r="AN123" s="3" t="n">
        <v>46219</v>
      </c>
      <c r="AO123" s="5" t="n">
        <v>123900</v>
      </c>
      <c r="AP123" s="5" t="n">
        <v>0</v>
      </c>
      <c r="AQ123" s="3" t="inlineStr"/>
    </row>
    <row r="124">
      <c r="A124" s="3" t="inlineStr">
        <is>
          <t>123</t>
        </is>
      </c>
      <c r="B124" s="3" t="inlineStr">
        <is>
          <t>NGS 260125</t>
        </is>
      </c>
      <c r="C124" s="4" t="n">
        <v>46118</v>
      </c>
      <c r="D124" s="3" t="inlineStr">
        <is>
          <t>April- 2026</t>
        </is>
      </c>
      <c r="E124" s="4" t="n">
        <v>46120</v>
      </c>
      <c r="F124" s="3" t="inlineStr">
        <is>
          <t>Mr.Rohit</t>
        </is>
      </c>
      <c r="G124" s="3" t="inlineStr">
        <is>
          <t>Gene Bio Solution</t>
        </is>
      </c>
      <c r="H124" s="3" t="inlineStr">
        <is>
          <t>Gene Bio Solution</t>
        </is>
      </c>
      <c r="I124" s="3" t="inlineStr">
        <is>
          <t>infogenebio@gmail.com</t>
        </is>
      </c>
      <c r="J124" s="3" t="inlineStr">
        <is>
          <t>9311343322</t>
        </is>
      </c>
      <c r="K124" s="3" t="inlineStr">
        <is>
          <t>Whole Genome Sequencing &amp; Analysis Of Illumina Novaseq X Plus Platform</t>
        </is>
      </c>
      <c r="L124" s="3" t="inlineStr">
        <is>
          <t>Leaf &amp; DNA</t>
        </is>
      </c>
      <c r="M124" s="3" t="inlineStr">
        <is>
          <t>Wgs</t>
        </is>
      </c>
      <c r="N124" s="3" t="inlineStr">
        <is>
          <t>With Analysis</t>
        </is>
      </c>
      <c r="O124" s="3" t="n">
        <v>1</v>
      </c>
      <c r="P124" s="3" t="inlineStr">
        <is>
          <t>20 GB /Sample</t>
        </is>
      </c>
      <c r="Q124" s="3" t="n">
        <v>20</v>
      </c>
      <c r="R124" s="3" t="n">
        <v>20</v>
      </c>
      <c r="S124" s="3" t="n">
        <v>10500</v>
      </c>
      <c r="T124" s="5" t="n">
        <v>10500</v>
      </c>
      <c r="U124" s="5" t="n">
        <v>1890</v>
      </c>
      <c r="V124" s="5" t="n">
        <v>12390</v>
      </c>
      <c r="W124" s="3" t="inlineStr">
        <is>
          <t>UG/NGS/TP/2604638R1</t>
        </is>
      </c>
      <c r="X124" s="3" t="inlineStr">
        <is>
          <t>Direct</t>
        </is>
      </c>
      <c r="Y124" s="3" t="inlineStr">
        <is>
          <t>Uttarakhand</t>
        </is>
      </c>
      <c r="Z124" s="3" t="inlineStr">
        <is>
          <t>Dehradun</t>
        </is>
      </c>
      <c r="AA124" s="3" t="n">
        <v>1</v>
      </c>
      <c r="AB124" s="3" t="n">
        <v>0</v>
      </c>
      <c r="AC124" s="4" t="n">
        <v>46122</v>
      </c>
      <c r="AD124" s="3" t="n">
        <v>2</v>
      </c>
      <c r="AE124" s="3" t="inlineStr">
        <is>
          <t>117 &amp; 118</t>
        </is>
      </c>
      <c r="AF124" s="3" t="inlineStr"/>
      <c r="AG124" s="4" t="n">
        <v>46198</v>
      </c>
      <c r="AH124" s="3" t="inlineStr"/>
      <c r="AI124" s="3" t="inlineStr"/>
      <c r="AJ124" s="3" t="inlineStr">
        <is>
          <t xml:space="preserve"> Project Closure</t>
        </is>
      </c>
      <c r="AK124" s="5" t="n">
        <v>10500</v>
      </c>
      <c r="AL124" s="5" t="n">
        <v>1890</v>
      </c>
      <c r="AM124" s="5" t="n">
        <v>12390</v>
      </c>
      <c r="AN124" s="3" t="n">
        <v>46219</v>
      </c>
      <c r="AO124" s="5" t="n">
        <v>0</v>
      </c>
      <c r="AP124" s="5" t="n">
        <v>-12390</v>
      </c>
      <c r="AQ124" s="3" t="inlineStr"/>
    </row>
    <row r="125">
      <c r="A125" s="3" t="inlineStr">
        <is>
          <t>124</t>
        </is>
      </c>
      <c r="B125" s="3" t="inlineStr">
        <is>
          <t>NGS 260126</t>
        </is>
      </c>
      <c r="C125" s="4" t="n">
        <v>46118</v>
      </c>
      <c r="D125" s="3" t="inlineStr">
        <is>
          <t>April- 2026</t>
        </is>
      </c>
      <c r="E125" s="4" t="n">
        <v>46120</v>
      </c>
      <c r="F125" s="3" t="inlineStr">
        <is>
          <t>Mr.Rohit</t>
        </is>
      </c>
      <c r="G125" s="3" t="inlineStr">
        <is>
          <t>Gene Bio Solution</t>
        </is>
      </c>
      <c r="H125" s="3" t="inlineStr">
        <is>
          <t>Gene Bio Solution</t>
        </is>
      </c>
      <c r="I125" s="3" t="inlineStr">
        <is>
          <t>infogenebio@gmail.com</t>
        </is>
      </c>
      <c r="J125" s="3" t="inlineStr">
        <is>
          <t>9311343322</t>
        </is>
      </c>
      <c r="K125" s="3" t="inlineStr">
        <is>
          <t>Whole Genome Sequencing &amp; Analysis Of Illumina Novaseq X Plus Platform</t>
        </is>
      </c>
      <c r="L125" s="3" t="inlineStr">
        <is>
          <t>DNA</t>
        </is>
      </c>
      <c r="M125" s="3" t="inlineStr">
        <is>
          <t>Wgs</t>
        </is>
      </c>
      <c r="N125" s="3" t="inlineStr">
        <is>
          <t>With Analysis</t>
        </is>
      </c>
      <c r="O125" s="3" t="n">
        <v>1</v>
      </c>
      <c r="P125" s="3" t="inlineStr">
        <is>
          <t>20 GB /Sample</t>
        </is>
      </c>
      <c r="Q125" s="3" t="n">
        <v>20</v>
      </c>
      <c r="R125" s="3" t="n">
        <v>20</v>
      </c>
      <c r="S125" s="3" t="n">
        <v>10500</v>
      </c>
      <c r="T125" s="5" t="n">
        <v>10500</v>
      </c>
      <c r="U125" s="5" t="n">
        <v>1890</v>
      </c>
      <c r="V125" s="5" t="n">
        <v>12390</v>
      </c>
      <c r="W125" s="3" t="inlineStr">
        <is>
          <t>UG/NGS/TP/2604638R1</t>
        </is>
      </c>
      <c r="X125" s="3" t="inlineStr">
        <is>
          <t>Direct</t>
        </is>
      </c>
      <c r="Y125" s="3" t="inlineStr">
        <is>
          <t>Uttarakhand</t>
        </is>
      </c>
      <c r="Z125" s="3" t="inlineStr">
        <is>
          <t>Dehradun</t>
        </is>
      </c>
      <c r="AA125" s="3" t="n">
        <v>1</v>
      </c>
      <c r="AB125" s="3" t="n">
        <v>0</v>
      </c>
      <c r="AC125" s="4" t="n">
        <v>46122</v>
      </c>
      <c r="AD125" s="3" t="n">
        <v>2</v>
      </c>
      <c r="AE125" s="3" t="inlineStr">
        <is>
          <t>117 &amp; 118</t>
        </is>
      </c>
      <c r="AF125" s="3" t="inlineStr"/>
      <c r="AG125" s="4" t="n">
        <v>46198</v>
      </c>
      <c r="AH125" s="3" t="inlineStr"/>
      <c r="AI125" s="3" t="inlineStr"/>
      <c r="AJ125" s="3" t="inlineStr">
        <is>
          <t xml:space="preserve"> Project Closure</t>
        </is>
      </c>
      <c r="AK125" s="5" t="n">
        <v>10500</v>
      </c>
      <c r="AL125" s="5" t="n">
        <v>1890</v>
      </c>
      <c r="AM125" s="5" t="n">
        <v>12390</v>
      </c>
      <c r="AN125" s="3" t="n">
        <v>46219</v>
      </c>
      <c r="AO125" s="5" t="n">
        <v>0</v>
      </c>
      <c r="AP125" s="5" t="n">
        <v>-12390</v>
      </c>
      <c r="AQ125" s="3" t="inlineStr"/>
    </row>
    <row r="126">
      <c r="A126" s="3" t="inlineStr">
        <is>
          <t>125</t>
        </is>
      </c>
      <c r="B126" s="3" t="inlineStr">
        <is>
          <t>NGS 260127</t>
        </is>
      </c>
      <c r="C126" s="4" t="n">
        <v>46118</v>
      </c>
      <c r="D126" s="3" t="inlineStr">
        <is>
          <t>April- 2026</t>
        </is>
      </c>
      <c r="E126" s="4" t="n">
        <v>46118</v>
      </c>
      <c r="F126" s="3" t="inlineStr">
        <is>
          <t>Dr Sai Prasad Pydi</t>
        </is>
      </c>
      <c r="G126" s="3" t="inlineStr">
        <is>
          <t>IIT, Kanpur</t>
        </is>
      </c>
      <c r="H126" s="3" t="inlineStr">
        <is>
          <t>IIT, Kanpur</t>
        </is>
      </c>
      <c r="I126" s="3" t="inlineStr">
        <is>
          <t>ashishk21@iitk.ac.in</t>
        </is>
      </c>
      <c r="J126" s="3" t="inlineStr">
        <is>
          <t>7895668748</t>
        </is>
      </c>
      <c r="K126" s="3" t="inlineStr">
        <is>
          <t>Bulk RNA Sequencing On Illumina Novaseq X Plus Platform</t>
        </is>
      </c>
      <c r="L126" s="3" t="inlineStr">
        <is>
          <t>RNA</t>
        </is>
      </c>
      <c r="M126" s="3" t="inlineStr">
        <is>
          <t>Bulk RNA Sequencing</t>
        </is>
      </c>
      <c r="N126" s="3" t="inlineStr">
        <is>
          <t xml:space="preserve">Without Analysis </t>
        </is>
      </c>
      <c r="O126" s="3" t="n">
        <v>16</v>
      </c>
      <c r="P126" s="3" t="inlineStr">
        <is>
          <t>8-9 GB/Sample</t>
        </is>
      </c>
      <c r="Q126" s="3" t="n">
        <v>9</v>
      </c>
      <c r="R126" s="3" t="n">
        <v>144</v>
      </c>
      <c r="S126" s="3" t="n">
        <v>10000</v>
      </c>
      <c r="T126" s="5" t="n">
        <v>160000</v>
      </c>
      <c r="U126" s="5" t="n">
        <v>28800</v>
      </c>
      <c r="V126" s="5" t="n">
        <v>188800</v>
      </c>
      <c r="W126" s="3" t="inlineStr">
        <is>
          <t>UG/NGS/TP/2603611R1</t>
        </is>
      </c>
      <c r="X126" s="3" t="inlineStr">
        <is>
          <t xml:space="preserve">Ravi </t>
        </is>
      </c>
      <c r="Y126" s="3" t="inlineStr">
        <is>
          <t>Up</t>
        </is>
      </c>
      <c r="Z126" s="3" t="inlineStr">
        <is>
          <t>Kanpur</t>
        </is>
      </c>
      <c r="AA126" s="3" t="n">
        <v>16</v>
      </c>
      <c r="AB126" s="3" t="n">
        <v>0</v>
      </c>
      <c r="AC126" s="4" t="n">
        <v>46119</v>
      </c>
      <c r="AD126" s="3" t="n">
        <v>1</v>
      </c>
      <c r="AE126" s="3" t="inlineStr">
        <is>
          <t>120 &amp; 121</t>
        </is>
      </c>
      <c r="AF126" s="4" t="n">
        <v>46143</v>
      </c>
      <c r="AG126" s="3" t="inlineStr"/>
      <c r="AH126" s="3" t="inlineStr"/>
      <c r="AI126" s="3" t="inlineStr"/>
      <c r="AJ126" s="3" t="inlineStr">
        <is>
          <t xml:space="preserve"> Project Closure</t>
        </is>
      </c>
      <c r="AK126" s="5" t="n">
        <v>160000</v>
      </c>
      <c r="AL126" s="5" t="n">
        <v>28800</v>
      </c>
      <c r="AM126" s="5" t="n">
        <v>188800</v>
      </c>
      <c r="AN126" s="3" t="n">
        <v>46219</v>
      </c>
      <c r="AO126" s="5" t="n">
        <v>0</v>
      </c>
      <c r="AP126" s="5" t="n">
        <v>-188800</v>
      </c>
      <c r="AQ126" s="3" t="inlineStr"/>
    </row>
    <row r="127">
      <c r="A127" s="3" t="inlineStr">
        <is>
          <t>126</t>
        </is>
      </c>
      <c r="B127" s="3" t="inlineStr">
        <is>
          <t>NGS 260128</t>
        </is>
      </c>
      <c r="C127" s="4" t="n">
        <v>46120</v>
      </c>
      <c r="D127" s="3" t="inlineStr">
        <is>
          <t>April- 2026</t>
        </is>
      </c>
      <c r="E127" s="4" t="n">
        <v>46120</v>
      </c>
      <c r="F127" s="3" t="inlineStr">
        <is>
          <t>Dr. Aparna Sharma</t>
        </is>
      </c>
      <c r="G127" s="3" t="inlineStr">
        <is>
          <t>Aiims - Delhi</t>
        </is>
      </c>
      <c r="H127" s="3" t="inlineStr">
        <is>
          <t>Aiims - Delhi</t>
        </is>
      </c>
      <c r="I127" s="3" t="inlineStr">
        <is>
          <t>monikachettri.aiims@gmail.com</t>
        </is>
      </c>
      <c r="J127" s="3" t="inlineStr">
        <is>
          <t>7085151778/ 84488 15621</t>
        </is>
      </c>
      <c r="K127" s="3" t="inlineStr">
        <is>
          <t>Whole Exome Sequencing On Illumina Novaseq X Plus Platform</t>
        </is>
      </c>
      <c r="L127" s="3" t="inlineStr">
        <is>
          <t>DNA</t>
        </is>
      </c>
      <c r="M127" s="3" t="inlineStr">
        <is>
          <t>Wes Seq</t>
        </is>
      </c>
      <c r="N127" s="3" t="inlineStr">
        <is>
          <t xml:space="preserve">Without Analysis </t>
        </is>
      </c>
      <c r="O127" s="3" t="n">
        <v>8</v>
      </c>
      <c r="P127" s="3" t="inlineStr">
        <is>
          <t>25 GB/Sample (500X)</t>
        </is>
      </c>
      <c r="Q127" s="3" t="n">
        <v>25</v>
      </c>
      <c r="R127" s="3" t="n">
        <v>200</v>
      </c>
      <c r="S127" s="3" t="n">
        <v>19000</v>
      </c>
      <c r="T127" s="5" t="n">
        <v>152000</v>
      </c>
      <c r="U127" s="5" t="n">
        <v>0</v>
      </c>
      <c r="V127" s="5" t="n">
        <v>152000</v>
      </c>
      <c r="W127" s="3" t="inlineStr">
        <is>
          <t>UG/NGS/TP/2603592</t>
        </is>
      </c>
      <c r="X127" s="3" t="inlineStr">
        <is>
          <t xml:space="preserve">Harsh </t>
        </is>
      </c>
      <c r="Y127" s="3" t="inlineStr">
        <is>
          <t>North</t>
        </is>
      </c>
      <c r="Z127" s="3" t="inlineStr">
        <is>
          <t>New Delhi</t>
        </is>
      </c>
      <c r="AA127" s="3" t="n">
        <v>7</v>
      </c>
      <c r="AB127" s="3" t="n">
        <v>1</v>
      </c>
      <c r="AC127" s="4" t="n">
        <v>46123</v>
      </c>
      <c r="AD127" s="3" t="n">
        <v>3</v>
      </c>
      <c r="AE127" s="3" t="inlineStr">
        <is>
          <t>119 &amp; 120</t>
        </is>
      </c>
      <c r="AF127" s="4" t="n">
        <v>46143</v>
      </c>
      <c r="AG127" s="3" t="inlineStr"/>
      <c r="AH127" s="3" t="inlineStr"/>
      <c r="AI127" s="3" t="inlineStr"/>
      <c r="AJ127" s="3" t="inlineStr">
        <is>
          <t xml:space="preserve"> Project Closure</t>
        </is>
      </c>
      <c r="AK127" s="5" t="n">
        <v>133000</v>
      </c>
      <c r="AL127" s="5" t="n">
        <v>23940</v>
      </c>
      <c r="AM127" s="5" t="n">
        <v>156940</v>
      </c>
      <c r="AN127" s="3" t="n">
        <v>46219</v>
      </c>
      <c r="AO127" s="5" t="n">
        <v>0</v>
      </c>
      <c r="AP127" s="5" t="n">
        <v>-156940</v>
      </c>
      <c r="AQ127" s="3" t="inlineStr"/>
    </row>
    <row r="128">
      <c r="A128" s="3" t="inlineStr">
        <is>
          <t>127</t>
        </is>
      </c>
      <c r="B128" s="3" t="inlineStr">
        <is>
          <t>NGS 260129</t>
        </is>
      </c>
      <c r="C128" s="4" t="n">
        <v>46120</v>
      </c>
      <c r="D128" s="3" t="inlineStr">
        <is>
          <t>April- 2026</t>
        </is>
      </c>
      <c r="E128" s="4" t="n">
        <v>46120</v>
      </c>
      <c r="F128" s="3" t="inlineStr">
        <is>
          <t>Dr. Aparna Sharma</t>
        </is>
      </c>
      <c r="G128" s="3" t="inlineStr">
        <is>
          <t>Aiims - Delhi</t>
        </is>
      </c>
      <c r="H128" s="3" t="inlineStr">
        <is>
          <t>Aiims - Delhi</t>
        </is>
      </c>
      <c r="I128" s="3" t="inlineStr">
        <is>
          <t>monikachettri.aiims@gmail.com</t>
        </is>
      </c>
      <c r="J128" s="3" t="inlineStr">
        <is>
          <t>7085151778/ 84488 15621</t>
        </is>
      </c>
      <c r="K128" s="3" t="inlineStr">
        <is>
          <t>Whole Exome Sequencing On Illumina Novaseq X Plus Platform</t>
        </is>
      </c>
      <c r="L128" s="3" t="inlineStr">
        <is>
          <t>DNA</t>
        </is>
      </c>
      <c r="M128" s="3" t="inlineStr">
        <is>
          <t>Wes Seq</t>
        </is>
      </c>
      <c r="N128" s="3" t="inlineStr">
        <is>
          <t xml:space="preserve">Without Analysis </t>
        </is>
      </c>
      <c r="O128" s="3" t="n">
        <v>16</v>
      </c>
      <c r="P128" s="3" t="inlineStr">
        <is>
          <t>8-10 GB/Sample</t>
        </is>
      </c>
      <c r="Q128" s="3" t="n">
        <v>10</v>
      </c>
      <c r="R128" s="3" t="n">
        <v>160</v>
      </c>
      <c r="S128" s="3" t="n">
        <v>9000</v>
      </c>
      <c r="T128" s="5" t="n">
        <v>144000</v>
      </c>
      <c r="U128" s="5" t="n">
        <v>0</v>
      </c>
      <c r="V128" s="5" t="n">
        <v>144000</v>
      </c>
      <c r="W128" s="3" t="inlineStr">
        <is>
          <t>UG/NGS/TP/2603593</t>
        </is>
      </c>
      <c r="X128" s="3" t="inlineStr">
        <is>
          <t xml:space="preserve">Harsh </t>
        </is>
      </c>
      <c r="Y128" s="3" t="inlineStr">
        <is>
          <t>North</t>
        </is>
      </c>
      <c r="Z128" s="3" t="inlineStr">
        <is>
          <t>New Delhi</t>
        </is>
      </c>
      <c r="AA128" s="3" t="n">
        <v>16</v>
      </c>
      <c r="AB128" s="3" t="n">
        <v>0</v>
      </c>
      <c r="AC128" s="4" t="n">
        <v>46123</v>
      </c>
      <c r="AD128" s="3" t="n">
        <v>3</v>
      </c>
      <c r="AE128" s="3" t="inlineStr">
        <is>
          <t>119 &amp; 122</t>
        </is>
      </c>
      <c r="AF128" s="4" t="n">
        <v>46153</v>
      </c>
      <c r="AG128" s="3" t="inlineStr"/>
      <c r="AH128" s="3" t="inlineStr"/>
      <c r="AI128" s="3" t="inlineStr"/>
      <c r="AJ128" s="3" t="inlineStr">
        <is>
          <t xml:space="preserve"> Project Closure</t>
        </is>
      </c>
      <c r="AK128" s="5" t="n">
        <v>144000</v>
      </c>
      <c r="AL128" s="5" t="n">
        <v>25920</v>
      </c>
      <c r="AM128" s="5" t="n">
        <v>169920</v>
      </c>
      <c r="AN128" s="3" t="n">
        <v>46219</v>
      </c>
      <c r="AO128" s="5" t="n">
        <v>0</v>
      </c>
      <c r="AP128" s="5" t="n">
        <v>-169920</v>
      </c>
      <c r="AQ128" s="3" t="inlineStr"/>
    </row>
    <row r="129">
      <c r="A129" s="3" t="inlineStr">
        <is>
          <t>128</t>
        </is>
      </c>
      <c r="B129" s="3" t="inlineStr">
        <is>
          <t>NGS 260130</t>
        </is>
      </c>
      <c r="C129" s="4" t="n">
        <v>46121</v>
      </c>
      <c r="D129" s="3" t="inlineStr">
        <is>
          <t>April- 2026</t>
        </is>
      </c>
      <c r="E129" s="4" t="n">
        <v>46121</v>
      </c>
      <c r="F129" s="3" t="inlineStr">
        <is>
          <t>Mr.Digil</t>
        </is>
      </c>
      <c r="G129" s="3" t="inlineStr">
        <is>
          <t>Geno Connect Services Private Limited</t>
        </is>
      </c>
      <c r="H129" s="3" t="inlineStr">
        <is>
          <t>Geno Connect Services Private Limited</t>
        </is>
      </c>
      <c r="I129" s="3" t="inlineStr">
        <is>
          <t>Genoconnect.pvt.ltd@gmail.com</t>
        </is>
      </c>
      <c r="J129" s="3" t="inlineStr">
        <is>
          <t>9400039514</t>
        </is>
      </c>
      <c r="K129" s="3" t="inlineStr">
        <is>
          <t>Low Pass Whole Genome Sequencing On Illumina Novaseq X Plus Platform</t>
        </is>
      </c>
      <c r="L129" s="3" t="inlineStr">
        <is>
          <t>Swab Samples</t>
        </is>
      </c>
      <c r="M129" s="3" t="inlineStr">
        <is>
          <t>Low Pass Wgs</t>
        </is>
      </c>
      <c r="N129" s="3" t="inlineStr">
        <is>
          <t xml:space="preserve">Without Analysis </t>
        </is>
      </c>
      <c r="O129" s="3" t="n">
        <v>1</v>
      </c>
      <c r="P129" s="3" t="inlineStr">
        <is>
          <t>15 GB/sample (5 X Coverage)</t>
        </is>
      </c>
      <c r="Q129" s="3" t="n">
        <v>3</v>
      </c>
      <c r="R129" s="3" t="n">
        <v>3</v>
      </c>
      <c r="S129" s="3" t="n">
        <v>8000</v>
      </c>
      <c r="T129" s="5" t="n">
        <v>8000</v>
      </c>
      <c r="U129" s="5" t="n">
        <v>1440</v>
      </c>
      <c r="V129" s="5" t="n">
        <v>9440</v>
      </c>
      <c r="W129" s="3" t="inlineStr">
        <is>
          <t>UG/NGS/TP/2512388R1</t>
        </is>
      </c>
      <c r="X129" s="3" t="inlineStr">
        <is>
          <t>Direct</t>
        </is>
      </c>
      <c r="Y129" s="3" t="inlineStr">
        <is>
          <t>South</t>
        </is>
      </c>
      <c r="Z129" s="3" t="inlineStr">
        <is>
          <t>Kozhikode</t>
        </is>
      </c>
      <c r="AA129" s="3" t="n">
        <v>1</v>
      </c>
      <c r="AB129" s="3" t="n">
        <v>0</v>
      </c>
      <c r="AC129" s="4" t="n">
        <v>46125</v>
      </c>
      <c r="AD129" s="3" t="n">
        <v>4</v>
      </c>
      <c r="AE129" s="3" t="inlineStr">
        <is>
          <t>117 &amp; 118</t>
        </is>
      </c>
      <c r="AF129" s="4" t="n">
        <v>46135</v>
      </c>
      <c r="AG129" s="3" t="inlineStr"/>
      <c r="AH129" s="3" t="inlineStr">
        <is>
          <t>UPL/GEN/2627/41</t>
        </is>
      </c>
      <c r="AI129" s="4" t="n">
        <v>46171</v>
      </c>
      <c r="AJ129" s="3" t="inlineStr">
        <is>
          <t xml:space="preserve"> Project Closure</t>
        </is>
      </c>
      <c r="AK129" s="5" t="n">
        <v>8000</v>
      </c>
      <c r="AL129" s="5" t="n">
        <v>1440</v>
      </c>
      <c r="AM129" s="5" t="n">
        <v>9440</v>
      </c>
      <c r="AN129" s="3" t="n">
        <v>48</v>
      </c>
      <c r="AO129" s="5" t="n">
        <v>9440</v>
      </c>
      <c r="AP129" s="5" t="n">
        <v>0</v>
      </c>
      <c r="AQ129" s="4" t="n">
        <v>46134</v>
      </c>
    </row>
    <row r="130">
      <c r="A130" s="3" t="inlineStr">
        <is>
          <t>129</t>
        </is>
      </c>
      <c r="B130" s="3" t="inlineStr">
        <is>
          <t>NGS 260131</t>
        </is>
      </c>
      <c r="C130" s="4" t="n">
        <v>46121</v>
      </c>
      <c r="D130" s="3" t="inlineStr">
        <is>
          <t>April- 2026</t>
        </is>
      </c>
      <c r="E130" s="4" t="n">
        <v>46121</v>
      </c>
      <c r="F130" s="3" t="inlineStr">
        <is>
          <t>Mr.Digil</t>
        </is>
      </c>
      <c r="G130" s="3" t="inlineStr">
        <is>
          <t>Geno Connect Services Private Limited</t>
        </is>
      </c>
      <c r="H130" s="3" t="inlineStr">
        <is>
          <t>Geno Connect Services Private Limited</t>
        </is>
      </c>
      <c r="I130" s="3" t="inlineStr">
        <is>
          <t>Genoconnect.pvt.ltd@gmail.com</t>
        </is>
      </c>
      <c r="J130" s="3" t="inlineStr">
        <is>
          <t>9400039514</t>
        </is>
      </c>
      <c r="K130" s="3" t="inlineStr">
        <is>
          <t>Low Pass Whole Genome Sequencing On Illumina Novaseq X Plus Platform</t>
        </is>
      </c>
      <c r="L130" s="3" t="inlineStr">
        <is>
          <t>Swab Samples</t>
        </is>
      </c>
      <c r="M130" s="3" t="inlineStr">
        <is>
          <t>Low Pass Wgs</t>
        </is>
      </c>
      <c r="N130" s="3" t="inlineStr">
        <is>
          <t xml:space="preserve">Without Analysis </t>
        </is>
      </c>
      <c r="O130" s="3" t="n">
        <v>1</v>
      </c>
      <c r="P130" s="3" t="inlineStr">
        <is>
          <t>3 GB/Sample</t>
        </is>
      </c>
      <c r="Q130" s="3" t="n">
        <v>3</v>
      </c>
      <c r="R130" s="3" t="n">
        <v>3</v>
      </c>
      <c r="S130" s="3" t="n">
        <v>3000</v>
      </c>
      <c r="T130" s="5" t="n">
        <v>3000</v>
      </c>
      <c r="U130" s="5" t="n">
        <v>540</v>
      </c>
      <c r="V130" s="5" t="n">
        <v>3540</v>
      </c>
      <c r="W130" s="3" t="inlineStr">
        <is>
          <t>UG/NGS/TP/2512388R1</t>
        </is>
      </c>
      <c r="X130" s="3" t="inlineStr">
        <is>
          <t>Direct</t>
        </is>
      </c>
      <c r="Y130" s="3" t="inlineStr">
        <is>
          <t>South</t>
        </is>
      </c>
      <c r="Z130" s="3" t="inlineStr">
        <is>
          <t>Kozhikode</t>
        </is>
      </c>
      <c r="AA130" s="3" t="n">
        <v>1</v>
      </c>
      <c r="AB130" s="3" t="n">
        <v>0</v>
      </c>
      <c r="AC130" s="4" t="n">
        <v>46125</v>
      </c>
      <c r="AD130" s="3" t="n">
        <v>4</v>
      </c>
      <c r="AE130" s="3" t="inlineStr">
        <is>
          <t>117</t>
        </is>
      </c>
      <c r="AF130" s="4" t="n">
        <v>46182</v>
      </c>
      <c r="AG130" s="3" t="inlineStr"/>
      <c r="AH130" s="3" t="inlineStr">
        <is>
          <t>UPL/GEN/2627/58</t>
        </is>
      </c>
      <c r="AI130" s="4" t="n">
        <v>46192</v>
      </c>
      <c r="AJ130" s="3" t="inlineStr">
        <is>
          <t xml:space="preserve"> Project Closure</t>
        </is>
      </c>
      <c r="AK130" s="5" t="n">
        <v>3000</v>
      </c>
      <c r="AL130" s="5" t="n">
        <v>540</v>
      </c>
      <c r="AM130" s="5" t="n">
        <v>3540</v>
      </c>
      <c r="AN130" s="3" t="n">
        <v>27</v>
      </c>
      <c r="AO130" s="5" t="n">
        <v>3540</v>
      </c>
      <c r="AP130" s="5" t="n">
        <v>0</v>
      </c>
      <c r="AQ130" s="4" t="n">
        <v>46179</v>
      </c>
    </row>
    <row r="131">
      <c r="A131" s="3" t="inlineStr">
        <is>
          <t>130</t>
        </is>
      </c>
      <c r="B131" s="3" t="inlineStr">
        <is>
          <t>NGS 260132</t>
        </is>
      </c>
      <c r="C131" s="4" t="n">
        <v>46121</v>
      </c>
      <c r="D131" s="3" t="inlineStr">
        <is>
          <t>April- 2026</t>
        </is>
      </c>
      <c r="E131" s="4" t="n">
        <v>46122</v>
      </c>
      <c r="F131" s="3" t="inlineStr">
        <is>
          <t>Dr. Deva Magendhra Rao</t>
        </is>
      </c>
      <c r="G131" s="3" t="inlineStr">
        <is>
          <t>Cancer Institute Wia</t>
        </is>
      </c>
      <c r="H131" s="3" t="inlineStr">
        <is>
          <t>Cancer Institute Wia</t>
        </is>
      </c>
      <c r="I131" s="3" t="inlineStr">
        <is>
          <t>hemarajan2997@gmail.com; akdmr26newgeneite@gmail.com</t>
        </is>
      </c>
      <c r="J131" s="3" t="inlineStr">
        <is>
          <t>7868835676</t>
        </is>
      </c>
      <c r="K131" s="3" t="inlineStr">
        <is>
          <t>Whole Exome Sequencing On Illumina Novaseq X Plus Platform</t>
        </is>
      </c>
      <c r="L131" s="3" t="inlineStr">
        <is>
          <t>DNA</t>
        </is>
      </c>
      <c r="M131" s="3" t="inlineStr">
        <is>
          <t>Wes Seq</t>
        </is>
      </c>
      <c r="N131" s="3" t="inlineStr">
        <is>
          <t xml:space="preserve">Without Analysis </t>
        </is>
      </c>
      <c r="O131" s="3" t="n">
        <v>20</v>
      </c>
      <c r="P131" s="3" t="inlineStr">
        <is>
          <t>8-10 GB/Sample</t>
        </is>
      </c>
      <c r="Q131" s="3" t="n">
        <v>10</v>
      </c>
      <c r="R131" s="3" t="n">
        <v>200</v>
      </c>
      <c r="S131" s="3" t="n">
        <v>10000</v>
      </c>
      <c r="T131" s="5" t="n">
        <v>200000</v>
      </c>
      <c r="U131" s="5" t="n">
        <v>36000</v>
      </c>
      <c r="V131" s="5" t="n">
        <v>236000</v>
      </c>
      <c r="W131" s="3" t="inlineStr">
        <is>
          <t>UG/NGS/TP/2603597</t>
        </is>
      </c>
      <c r="X131" s="3" t="inlineStr">
        <is>
          <t>Direct</t>
        </is>
      </c>
      <c r="Y131" s="3" t="inlineStr">
        <is>
          <t>South</t>
        </is>
      </c>
      <c r="Z131" s="3" t="inlineStr">
        <is>
          <t>Chennai</t>
        </is>
      </c>
      <c r="AA131" s="3" t="n">
        <v>19</v>
      </c>
      <c r="AB131" s="3" t="n">
        <v>1</v>
      </c>
      <c r="AC131" s="4" t="n">
        <v>46123</v>
      </c>
      <c r="AD131" s="3" t="n">
        <v>1</v>
      </c>
      <c r="AE131" s="3" t="inlineStr">
        <is>
          <t>119 &amp; 122 &amp; 141</t>
        </is>
      </c>
      <c r="AF131" s="4" t="n">
        <v>46162</v>
      </c>
      <c r="AG131" s="3" t="inlineStr"/>
      <c r="AH131" s="3" t="inlineStr">
        <is>
          <t>UPL/GEN/392/2526</t>
        </is>
      </c>
      <c r="AI131" s="4" t="n">
        <v>46104</v>
      </c>
      <c r="AJ131" s="3" t="inlineStr">
        <is>
          <t xml:space="preserve"> Project Closure</t>
        </is>
      </c>
      <c r="AK131" s="5" t="n">
        <v>190000</v>
      </c>
      <c r="AL131" s="5" t="n">
        <v>34200</v>
      </c>
      <c r="AM131" s="5" t="n">
        <v>224200</v>
      </c>
      <c r="AN131" s="3" t="n">
        <v>115</v>
      </c>
      <c r="AO131" s="5" t="n">
        <v>224200</v>
      </c>
      <c r="AP131" s="5" t="n">
        <v>0</v>
      </c>
      <c r="AQ131" s="4" t="n">
        <v>46122</v>
      </c>
    </row>
    <row r="132">
      <c r="A132" s="3" t="inlineStr">
        <is>
          <t>131</t>
        </is>
      </c>
      <c r="B132" s="3" t="inlineStr">
        <is>
          <t>NGS 260133</t>
        </is>
      </c>
      <c r="C132" s="4" t="n">
        <v>46121</v>
      </c>
      <c r="D132" s="3" t="inlineStr">
        <is>
          <t>April- 2026</t>
        </is>
      </c>
      <c r="E132" s="4" t="n">
        <v>46122</v>
      </c>
      <c r="F132" s="3" t="inlineStr">
        <is>
          <t>Dr. Deva Magendhra Rao</t>
        </is>
      </c>
      <c r="G132" s="3" t="inlineStr">
        <is>
          <t>Cancer Institute Wia</t>
        </is>
      </c>
      <c r="H132" s="3" t="inlineStr">
        <is>
          <t>Cancer Institute Wia</t>
        </is>
      </c>
      <c r="I132" s="3" t="inlineStr">
        <is>
          <t>hemarajan2997@gmail.com; akdmr26newgeneite@gmail.com</t>
        </is>
      </c>
      <c r="J132" s="3" t="inlineStr">
        <is>
          <t>7868835676</t>
        </is>
      </c>
      <c r="K132" s="3" t="inlineStr">
        <is>
          <t>Whole Transcriptome Sequencing On Illumina Novaseq X Plus Platform (Ribodepletion)</t>
        </is>
      </c>
      <c r="L132" s="3" t="inlineStr">
        <is>
          <t>RNA</t>
        </is>
      </c>
      <c r="M132" s="3" t="inlineStr">
        <is>
          <t>Wts Seq</t>
        </is>
      </c>
      <c r="N132" s="3" t="inlineStr">
        <is>
          <t xml:space="preserve">Without Analysis </t>
        </is>
      </c>
      <c r="O132" s="3" t="n">
        <v>10</v>
      </c>
      <c r="P132" s="3" t="inlineStr">
        <is>
          <t>30 GB/Sample</t>
        </is>
      </c>
      <c r="Q132" s="3" t="n">
        <v>30</v>
      </c>
      <c r="R132" s="3" t="n">
        <v>300</v>
      </c>
      <c r="S132" s="3" t="n">
        <v>21000</v>
      </c>
      <c r="T132" s="5" t="n">
        <v>210000</v>
      </c>
      <c r="U132" s="5" t="n">
        <v>37800</v>
      </c>
      <c r="V132" s="5" t="n">
        <v>247800</v>
      </c>
      <c r="W132" s="3" t="inlineStr">
        <is>
          <t>UG/NGS/TP/2603598</t>
        </is>
      </c>
      <c r="X132" s="3" t="inlineStr">
        <is>
          <t>Direct</t>
        </is>
      </c>
      <c r="Y132" s="3" t="inlineStr">
        <is>
          <t>South</t>
        </is>
      </c>
      <c r="Z132" s="3" t="inlineStr">
        <is>
          <t>Chennai</t>
        </is>
      </c>
      <c r="AA132" s="3" t="n">
        <v>9</v>
      </c>
      <c r="AB132" s="3" t="n">
        <v>1</v>
      </c>
      <c r="AC132" s="4" t="n">
        <v>46125</v>
      </c>
      <c r="AD132" s="3" t="n">
        <v>3</v>
      </c>
      <c r="AE132" s="3" t="inlineStr">
        <is>
          <t>120 &amp; 121</t>
        </is>
      </c>
      <c r="AF132" s="4" t="n">
        <v>46161</v>
      </c>
      <c r="AG132" s="3" t="inlineStr"/>
      <c r="AH132" s="3" t="inlineStr">
        <is>
          <t>UPL/GEN/394/2526</t>
        </is>
      </c>
      <c r="AI132" s="4" t="n">
        <v>46104</v>
      </c>
      <c r="AJ132" s="3" t="inlineStr">
        <is>
          <t xml:space="preserve"> Project Closure</t>
        </is>
      </c>
      <c r="AK132" s="5" t="n">
        <v>189000</v>
      </c>
      <c r="AL132" s="5" t="n">
        <v>34020</v>
      </c>
      <c r="AM132" s="5" t="n">
        <v>223020</v>
      </c>
      <c r="AN132" s="3" t="n">
        <v>115</v>
      </c>
      <c r="AO132" s="5" t="n">
        <v>223020</v>
      </c>
      <c r="AP132" s="5" t="n">
        <v>0</v>
      </c>
      <c r="AQ132" s="4" t="n">
        <v>46122</v>
      </c>
    </row>
    <row r="133">
      <c r="A133" s="3" t="inlineStr">
        <is>
          <t>132</t>
        </is>
      </c>
      <c r="B133" s="3" t="inlineStr">
        <is>
          <t>NGS 260134</t>
        </is>
      </c>
      <c r="C133" s="4" t="n">
        <v>46121</v>
      </c>
      <c r="D133" s="3" t="inlineStr">
        <is>
          <t>April- 2026</t>
        </is>
      </c>
      <c r="E133" s="4" t="n">
        <v>46122</v>
      </c>
      <c r="F133" s="3" t="inlineStr">
        <is>
          <t>Dr. Reena Arora</t>
        </is>
      </c>
      <c r="G133" s="3" t="inlineStr">
        <is>
          <t>ICAR-Nbagr, Karnal</t>
        </is>
      </c>
      <c r="H133" s="3" t="inlineStr">
        <is>
          <t>ICAR-Nbagr, Karnal</t>
        </is>
      </c>
      <c r="I133" s="3" t="inlineStr">
        <is>
          <t xml:space="preserve">rejagati@yahoo.co.in </t>
        </is>
      </c>
      <c r="J133" s="3" t="inlineStr">
        <is>
          <t>9896273333</t>
        </is>
      </c>
      <c r="K133" s="3" t="inlineStr">
        <is>
          <t>Transcriptome Sequencing On Illumina Novaseq X Plus Platform</t>
        </is>
      </c>
      <c r="L133" s="3" t="inlineStr">
        <is>
          <t>RNA</t>
        </is>
      </c>
      <c r="M133" s="3" t="inlineStr">
        <is>
          <t>RNA Seq</t>
        </is>
      </c>
      <c r="N133" s="3" t="inlineStr">
        <is>
          <t xml:space="preserve">Without Analysis </t>
        </is>
      </c>
      <c r="O133" s="3" t="n">
        <v>3</v>
      </c>
      <c r="P133" s="3" t="inlineStr">
        <is>
          <t>15 GB/sample</t>
        </is>
      </c>
      <c r="Q133" s="3" t="n">
        <v>15</v>
      </c>
      <c r="R133" s="3" t="n">
        <v>45</v>
      </c>
      <c r="S133" s="3" t="inlineStr"/>
      <c r="T133" s="5" t="n">
        <v>0</v>
      </c>
      <c r="U133" s="5" t="n">
        <v>0</v>
      </c>
      <c r="V133" s="5" t="n">
        <v>0</v>
      </c>
      <c r="W133" s="3" t="inlineStr"/>
      <c r="X133" s="3" t="inlineStr">
        <is>
          <t>Rituraj Singh</t>
        </is>
      </c>
      <c r="Y133" s="3" t="inlineStr">
        <is>
          <t>North</t>
        </is>
      </c>
      <c r="Z133" s="3" t="inlineStr">
        <is>
          <t>Karnal</t>
        </is>
      </c>
      <c r="AA133" s="3" t="n">
        <v>2</v>
      </c>
      <c r="AB133" s="3" t="n">
        <v>1</v>
      </c>
      <c r="AC133" s="4" t="n">
        <v>46125</v>
      </c>
      <c r="AD133" s="3" t="n">
        <v>3</v>
      </c>
      <c r="AE133" s="3" t="inlineStr">
        <is>
          <t>120 &amp; 121</t>
        </is>
      </c>
      <c r="AF133" s="4" t="n">
        <v>46143</v>
      </c>
      <c r="AG133" s="3" t="inlineStr"/>
      <c r="AH133" s="3" t="inlineStr"/>
      <c r="AI133" s="3" t="inlineStr"/>
      <c r="AJ133" s="3" t="inlineStr">
        <is>
          <t xml:space="preserve"> Project Closure</t>
        </is>
      </c>
      <c r="AK133" s="5" t="n">
        <v>0</v>
      </c>
      <c r="AL133" s="5" t="n">
        <v>0</v>
      </c>
      <c r="AM133" s="5" t="n">
        <v>0</v>
      </c>
      <c r="AN133" s="3" t="n">
        <v>46219</v>
      </c>
      <c r="AO133" s="5" t="n">
        <v>0</v>
      </c>
      <c r="AP133" s="5" t="n">
        <v>0</v>
      </c>
      <c r="AQ133" s="3" t="inlineStr"/>
    </row>
    <row r="134">
      <c r="A134" s="3" t="inlineStr">
        <is>
          <t>133</t>
        </is>
      </c>
      <c r="B134" s="3" t="inlineStr">
        <is>
          <t>Re-NGS 260135</t>
        </is>
      </c>
      <c r="C134" s="4" t="n">
        <v>46121</v>
      </c>
      <c r="D134" s="3" t="inlineStr">
        <is>
          <t>April- 2026</t>
        </is>
      </c>
      <c r="E134" s="4" t="n">
        <v>46122</v>
      </c>
      <c r="F134" s="3" t="inlineStr">
        <is>
          <t>Dr. Reena Arora</t>
        </is>
      </c>
      <c r="G134" s="3" t="inlineStr">
        <is>
          <t>ICAR-Nbagr, Karnal</t>
        </is>
      </c>
      <c r="H134" s="3" t="inlineStr">
        <is>
          <t>ICAR-Nbagr, Karnal</t>
        </is>
      </c>
      <c r="I134" s="3" t="inlineStr">
        <is>
          <t xml:space="preserve">rejagati@yahoo.co.in </t>
        </is>
      </c>
      <c r="J134" s="3" t="inlineStr">
        <is>
          <t>9896273333</t>
        </is>
      </c>
      <c r="K134" s="3" t="inlineStr">
        <is>
          <t>Whole Genome Bisulphite Sequencing On Illumina Novaseq X Plus Platform</t>
        </is>
      </c>
      <c r="L134" s="3" t="inlineStr">
        <is>
          <t>DNA</t>
        </is>
      </c>
      <c r="M134" s="3" t="inlineStr">
        <is>
          <t>Wbs</t>
        </is>
      </c>
      <c r="N134" s="3" t="inlineStr">
        <is>
          <t xml:space="preserve">Without Analysis </t>
        </is>
      </c>
      <c r="O134" s="3" t="n">
        <v>4</v>
      </c>
      <c r="P134" s="3" t="inlineStr">
        <is>
          <t>30 GB/Sample</t>
        </is>
      </c>
      <c r="Q134" s="3" t="n">
        <v>30</v>
      </c>
      <c r="R134" s="3" t="n">
        <v>120</v>
      </c>
      <c r="S134" s="3" t="inlineStr"/>
      <c r="T134" s="5" t="n">
        <v>0</v>
      </c>
      <c r="U134" s="5" t="n">
        <v>0</v>
      </c>
      <c r="V134" s="5" t="n">
        <v>0</v>
      </c>
      <c r="W134" s="3" t="inlineStr"/>
      <c r="X134" s="3" t="inlineStr">
        <is>
          <t>Rituraj Singh</t>
        </is>
      </c>
      <c r="Y134" s="3" t="inlineStr">
        <is>
          <t>North</t>
        </is>
      </c>
      <c r="Z134" s="3" t="inlineStr">
        <is>
          <t>Karnal</t>
        </is>
      </c>
      <c r="AA134" s="3" t="n">
        <v>2</v>
      </c>
      <c r="AB134" s="3" t="n">
        <v>2</v>
      </c>
      <c r="AC134" s="4" t="n">
        <v>46155</v>
      </c>
      <c r="AD134" s="3" t="n">
        <v>33</v>
      </c>
      <c r="AE134" s="3" t="inlineStr">
        <is>
          <t>139 &amp; 141 (1 samples Topup)</t>
        </is>
      </c>
      <c r="AF134" s="3" t="inlineStr"/>
      <c r="AG134" s="3" t="inlineStr"/>
      <c r="AH134" s="3" t="inlineStr"/>
      <c r="AI134" s="3" t="inlineStr"/>
      <c r="AJ134" s="3" t="inlineStr"/>
      <c r="AK134" s="5" t="n">
        <v>0</v>
      </c>
      <c r="AL134" s="5" t="n">
        <v>0</v>
      </c>
      <c r="AM134" s="5" t="n">
        <v>0</v>
      </c>
      <c r="AN134" s="3" t="inlineStr"/>
      <c r="AO134" s="5" t="n">
        <v>0</v>
      </c>
      <c r="AP134" s="5" t="n">
        <v>0</v>
      </c>
      <c r="AQ134" s="3" t="inlineStr"/>
    </row>
    <row r="135">
      <c r="A135" s="3" t="inlineStr">
        <is>
          <t>134</t>
        </is>
      </c>
      <c r="B135" s="3" t="inlineStr">
        <is>
          <t>NGS 260136</t>
        </is>
      </c>
      <c r="C135" s="4" t="n">
        <v>46122</v>
      </c>
      <c r="D135" s="3" t="inlineStr">
        <is>
          <t>April- 2026</t>
        </is>
      </c>
      <c r="E135" s="4" t="n">
        <v>46123</v>
      </c>
      <c r="F135" s="3" t="inlineStr">
        <is>
          <t>Dr. Syed K. Hasan</t>
        </is>
      </c>
      <c r="G135" s="3" t="inlineStr">
        <is>
          <t>Actrec, Tata Memorial Centre</t>
        </is>
      </c>
      <c r="H135" s="3" t="inlineStr">
        <is>
          <t>Actrec, Tata Memorial Centre</t>
        </is>
      </c>
      <c r="I135" s="3" t="inlineStr">
        <is>
          <t>syeda301292@gmail.com /  syedhasanbio@yahoo.com</t>
        </is>
      </c>
      <c r="J135" s="3" t="inlineStr">
        <is>
          <t>9969938214/ 9609787938</t>
        </is>
      </c>
      <c r="K135" s="3" t="inlineStr">
        <is>
          <t>Whole Exome Sequencing &amp; Analysis On Illumina Novaseq X Plus</t>
        </is>
      </c>
      <c r="L135" s="3" t="inlineStr">
        <is>
          <t>Cell Lines Pellets</t>
        </is>
      </c>
      <c r="M135" s="3" t="inlineStr">
        <is>
          <t>Wes Seq</t>
        </is>
      </c>
      <c r="N135" s="3" t="inlineStr">
        <is>
          <t>With Analysis</t>
        </is>
      </c>
      <c r="O135" s="3" t="n">
        <v>2</v>
      </c>
      <c r="P135" s="3" t="inlineStr">
        <is>
          <t>8-10 GB/Sample</t>
        </is>
      </c>
      <c r="Q135" s="3" t="n">
        <v>10</v>
      </c>
      <c r="R135" s="3" t="n">
        <v>20</v>
      </c>
      <c r="S135" s="3" t="n">
        <v>15000</v>
      </c>
      <c r="T135" s="5" t="n">
        <v>30000</v>
      </c>
      <c r="U135" s="5" t="n">
        <v>5400</v>
      </c>
      <c r="V135" s="5" t="n">
        <v>35400</v>
      </c>
      <c r="W135" s="3" t="inlineStr">
        <is>
          <t>UG/NGS/TP/2603591</t>
        </is>
      </c>
      <c r="X135" s="3" t="inlineStr">
        <is>
          <t>Direct</t>
        </is>
      </c>
      <c r="Y135" s="3" t="inlineStr">
        <is>
          <t>West</t>
        </is>
      </c>
      <c r="Z135" s="3" t="inlineStr">
        <is>
          <t>Navi Mumbai</t>
        </is>
      </c>
      <c r="AA135" s="3" t="n">
        <v>2</v>
      </c>
      <c r="AB135" s="3" t="n">
        <v>0</v>
      </c>
      <c r="AC135" s="4" t="n">
        <v>46125</v>
      </c>
      <c r="AD135" s="3" t="n">
        <v>2</v>
      </c>
      <c r="AE135" s="3" t="inlineStr">
        <is>
          <t>119</t>
        </is>
      </c>
      <c r="AF135" s="4" t="n">
        <v>46142</v>
      </c>
      <c r="AG135" s="4" t="n">
        <v>46172</v>
      </c>
      <c r="AH135" s="3" t="inlineStr">
        <is>
          <t>UPL/GEN/2627/32</t>
        </is>
      </c>
      <c r="AI135" s="4" t="n">
        <v>46160</v>
      </c>
      <c r="AJ135" s="3" t="inlineStr">
        <is>
          <t xml:space="preserve"> Project Closure</t>
        </is>
      </c>
      <c r="AK135" s="5" t="n">
        <v>30000</v>
      </c>
      <c r="AL135" s="5" t="n">
        <v>5400</v>
      </c>
      <c r="AM135" s="5" t="n">
        <v>35400</v>
      </c>
      <c r="AN135" s="3" t="n">
        <v>59</v>
      </c>
      <c r="AO135" s="5" t="n">
        <v>0</v>
      </c>
      <c r="AP135" s="5" t="n">
        <v>-35400</v>
      </c>
      <c r="AQ135" s="3" t="inlineStr"/>
    </row>
    <row r="136">
      <c r="A136" s="3" t="inlineStr">
        <is>
          <t>135</t>
        </is>
      </c>
      <c r="B136" s="3" t="inlineStr">
        <is>
          <t>NGS 260137</t>
        </is>
      </c>
      <c r="C136" s="4" t="n">
        <v>46122</v>
      </c>
      <c r="D136" s="3" t="inlineStr">
        <is>
          <t>April- 2026</t>
        </is>
      </c>
      <c r="E136" s="4" t="n">
        <v>46122</v>
      </c>
      <c r="F136" s="3" t="inlineStr">
        <is>
          <t>Dr. Kankan Datta</t>
        </is>
      </c>
      <c r="G136" s="3" t="inlineStr">
        <is>
          <t>Iiser Pune</t>
        </is>
      </c>
      <c r="H136" s="3" t="inlineStr">
        <is>
          <t>Iiser Pune</t>
        </is>
      </c>
      <c r="I136" s="3" t="inlineStr">
        <is>
          <t>kankan.datta@students.iiserpune.ac.in</t>
        </is>
      </c>
      <c r="J136" s="3" t="inlineStr">
        <is>
          <t>79088 67340</t>
        </is>
      </c>
      <c r="K136" s="3" t="inlineStr">
        <is>
          <t>Transcriptome Sequencing &amp; Analysis On Illumina Novaseq X Plus Platform</t>
        </is>
      </c>
      <c r="L136" s="3" t="inlineStr">
        <is>
          <t>Tissue</t>
        </is>
      </c>
      <c r="M136" s="3" t="inlineStr">
        <is>
          <t>Wts Seq</t>
        </is>
      </c>
      <c r="N136" s="3" t="inlineStr">
        <is>
          <t>With Analysis</t>
        </is>
      </c>
      <c r="O136" s="3" t="n">
        <v>6</v>
      </c>
      <c r="P136" s="3" t="inlineStr">
        <is>
          <t>10 GB/Sample</t>
        </is>
      </c>
      <c r="Q136" s="3" t="n">
        <v>10</v>
      </c>
      <c r="R136" s="3" t="n">
        <v>60</v>
      </c>
      <c r="S136" s="3" t="n">
        <v>14000</v>
      </c>
      <c r="T136" s="5" t="n">
        <v>84000</v>
      </c>
      <c r="U136" s="5" t="n">
        <v>15120</v>
      </c>
      <c r="V136" s="5" t="n">
        <v>99120</v>
      </c>
      <c r="W136" s="3" t="inlineStr">
        <is>
          <t>UG/NGS/TP/2603586</t>
        </is>
      </c>
      <c r="X136" s="3" t="inlineStr">
        <is>
          <t>Direct</t>
        </is>
      </c>
      <c r="Y136" s="3" t="inlineStr">
        <is>
          <t>West</t>
        </is>
      </c>
      <c r="Z136" s="3" t="inlineStr">
        <is>
          <t>Pune</t>
        </is>
      </c>
      <c r="AA136" s="3" t="n">
        <v>6</v>
      </c>
      <c r="AB136" s="3" t="n">
        <v>0</v>
      </c>
      <c r="AC136" s="4" t="n">
        <v>46127</v>
      </c>
      <c r="AD136" s="3" t="n">
        <v>5</v>
      </c>
      <c r="AE136" s="3" t="inlineStr">
        <is>
          <t>124 &amp;125</t>
        </is>
      </c>
      <c r="AF136" s="3" t="inlineStr"/>
      <c r="AG136" s="4" t="n">
        <v>46214</v>
      </c>
      <c r="AH136" s="3" t="inlineStr"/>
      <c r="AI136" s="3" t="inlineStr"/>
      <c r="AJ136" s="3" t="inlineStr">
        <is>
          <t xml:space="preserve"> Project Closure</t>
        </is>
      </c>
      <c r="AK136" s="5" t="n">
        <v>84000</v>
      </c>
      <c r="AL136" s="5" t="n">
        <v>15120</v>
      </c>
      <c r="AM136" s="5" t="n">
        <v>99120</v>
      </c>
      <c r="AN136" s="3" t="inlineStr"/>
      <c r="AO136" s="5" t="n">
        <v>0</v>
      </c>
      <c r="AP136" s="5" t="n">
        <v>-99120</v>
      </c>
      <c r="AQ136" s="3" t="inlineStr"/>
    </row>
    <row r="137">
      <c r="A137" s="3" t="inlineStr">
        <is>
          <t>136</t>
        </is>
      </c>
      <c r="B137" s="3" t="inlineStr">
        <is>
          <t>NGS 260138</t>
        </is>
      </c>
      <c r="C137" s="4" t="n">
        <v>46122</v>
      </c>
      <c r="D137" s="3" t="inlineStr">
        <is>
          <t>April- 2026</t>
        </is>
      </c>
      <c r="E137" s="4" t="n">
        <v>46123</v>
      </c>
      <c r="F137" s="3" t="inlineStr">
        <is>
          <t>Dr. Rajal Debnath</t>
        </is>
      </c>
      <c r="G137" s="3" t="inlineStr">
        <is>
          <t>Institute For Seri-Biotechnological Research</t>
        </is>
      </c>
      <c r="H137" s="3" t="inlineStr">
        <is>
          <t>Institute For Seri-Biotechnological Research</t>
        </is>
      </c>
      <c r="I137" s="3" t="inlineStr">
        <is>
          <t>rajal.debnath@gmail.com</t>
        </is>
      </c>
      <c r="J137" s="3" t="inlineStr">
        <is>
          <t>9508620505</t>
        </is>
      </c>
      <c r="K137" s="3" t="inlineStr">
        <is>
          <t>Whole Genome Re-Sequencing Of Illumina Novaseq X Plus Platform</t>
        </is>
      </c>
      <c r="L137" s="3" t="inlineStr">
        <is>
          <t>Leaf</t>
        </is>
      </c>
      <c r="M137" s="3" t="inlineStr">
        <is>
          <t>Wgs</t>
        </is>
      </c>
      <c r="N137" s="3" t="inlineStr">
        <is>
          <t>With Analysis</t>
        </is>
      </c>
      <c r="O137" s="3" t="n">
        <v>20</v>
      </c>
      <c r="P137" s="3" t="inlineStr">
        <is>
          <t>15 GB/sample</t>
        </is>
      </c>
      <c r="Q137" s="3" t="n">
        <v>15</v>
      </c>
      <c r="R137" s="3" t="n">
        <v>300</v>
      </c>
      <c r="S137" s="3" t="n">
        <v>14500</v>
      </c>
      <c r="T137" s="5" t="n">
        <v>290000</v>
      </c>
      <c r="U137" s="5" t="n">
        <v>52200</v>
      </c>
      <c r="V137" s="5" t="n">
        <v>342200</v>
      </c>
      <c r="W137" s="3" t="inlineStr">
        <is>
          <t>GEMC-511687779052365</t>
        </is>
      </c>
      <c r="X137" s="3" t="inlineStr">
        <is>
          <t>Direct</t>
        </is>
      </c>
      <c r="Y137" s="3" t="inlineStr">
        <is>
          <t>South</t>
        </is>
      </c>
      <c r="Z137" s="3" t="inlineStr">
        <is>
          <t>Bangalore</t>
        </is>
      </c>
      <c r="AA137" s="3" t="n">
        <v>20</v>
      </c>
      <c r="AB137" s="3" t="n">
        <v>0</v>
      </c>
      <c r="AC137" s="4" t="n">
        <v>46127</v>
      </c>
      <c r="AD137" s="3" t="n">
        <v>4</v>
      </c>
      <c r="AE137" s="3" t="inlineStr">
        <is>
          <t>128 &amp; 130 &amp; 131</t>
        </is>
      </c>
      <c r="AF137" s="3" t="inlineStr"/>
      <c r="AG137" s="3" t="inlineStr"/>
      <c r="AH137" s="3" t="inlineStr"/>
      <c r="AI137" s="3" t="inlineStr"/>
      <c r="AJ137" s="3" t="inlineStr"/>
      <c r="AK137" s="5" t="n">
        <v>290000</v>
      </c>
      <c r="AL137" s="5" t="n">
        <v>52200</v>
      </c>
      <c r="AM137" s="5" t="n">
        <v>342200</v>
      </c>
      <c r="AN137" s="3" t="inlineStr"/>
      <c r="AO137" s="5" t="n">
        <v>0</v>
      </c>
      <c r="AP137" s="5" t="n">
        <v>-342200</v>
      </c>
      <c r="AQ137" s="3" t="inlineStr"/>
    </row>
    <row r="138">
      <c r="A138" s="3" t="inlineStr">
        <is>
          <t>137</t>
        </is>
      </c>
      <c r="B138" s="3" t="inlineStr">
        <is>
          <t>RE-NGS 260139</t>
        </is>
      </c>
      <c r="C138" s="4" t="n">
        <v>46125</v>
      </c>
      <c r="D138" s="3" t="inlineStr">
        <is>
          <t>April- 2026</t>
        </is>
      </c>
      <c r="E138" s="4" t="n">
        <v>46126</v>
      </c>
      <c r="F138" s="3" t="inlineStr">
        <is>
          <t>Neha Sharma</t>
        </is>
      </c>
      <c r="G138" s="3" t="inlineStr">
        <is>
          <t>Bhu</t>
        </is>
      </c>
      <c r="H138" s="3" t="inlineStr">
        <is>
          <t>Genecare Biotech</t>
        </is>
      </c>
      <c r="I138" s="3" t="inlineStr">
        <is>
          <t>naha@bhu.ac.in / genecarebiotech21@gmail.com</t>
        </is>
      </c>
      <c r="J138" s="3" t="inlineStr">
        <is>
          <t>8219312428</t>
        </is>
      </c>
      <c r="K138" s="3" t="inlineStr">
        <is>
          <t>Denovo Whole Genome Sequencing On Illumina Novaseq X Plus Platform</t>
        </is>
      </c>
      <c r="L138" s="3" t="inlineStr">
        <is>
          <t>DNA</t>
        </is>
      </c>
      <c r="M138" s="3" t="inlineStr">
        <is>
          <t>Denovo Wgs</t>
        </is>
      </c>
      <c r="N138" s="3" t="inlineStr">
        <is>
          <t>With Analysis</t>
        </is>
      </c>
      <c r="O138" s="3" t="n">
        <v>4</v>
      </c>
      <c r="P138" s="3" t="inlineStr">
        <is>
          <t>4 GB/Sample (100X)</t>
        </is>
      </c>
      <c r="Q138" s="3" t="n">
        <v>4</v>
      </c>
      <c r="R138" s="3" t="n">
        <v>16</v>
      </c>
      <c r="S138" s="3" t="n">
        <v>12000</v>
      </c>
      <c r="T138" s="5" t="n">
        <v>48000</v>
      </c>
      <c r="U138" s="5" t="n">
        <v>8640</v>
      </c>
      <c r="V138" s="5" t="n">
        <v>56640</v>
      </c>
      <c r="W138" s="3" t="inlineStr">
        <is>
          <t>UG/NGS/TP/2601474</t>
        </is>
      </c>
      <c r="X138" s="3" t="inlineStr">
        <is>
          <t xml:space="preserve">Harsh </t>
        </is>
      </c>
      <c r="Y138" s="3" t="inlineStr">
        <is>
          <t>Up</t>
        </is>
      </c>
      <c r="Z138" s="3" t="inlineStr">
        <is>
          <t>Varanasi</t>
        </is>
      </c>
      <c r="AA138" s="3" t="n">
        <v>4</v>
      </c>
      <c r="AB138" s="3" t="n">
        <v>0</v>
      </c>
      <c r="AC138" s="4" t="n">
        <v>46129</v>
      </c>
      <c r="AD138" s="3" t="n">
        <v>3</v>
      </c>
      <c r="AE138" s="3" t="inlineStr">
        <is>
          <t>124 &amp; 130</t>
        </is>
      </c>
      <c r="AF138" s="3" t="inlineStr"/>
      <c r="AG138" s="3" t="inlineStr"/>
      <c r="AH138" s="3" t="inlineStr"/>
      <c r="AI138" s="3" t="inlineStr"/>
      <c r="AJ138" s="3" t="inlineStr"/>
      <c r="AK138" s="5" t="n">
        <v>48000</v>
      </c>
      <c r="AL138" s="5" t="n">
        <v>8640</v>
      </c>
      <c r="AM138" s="5" t="n">
        <v>56640</v>
      </c>
      <c r="AN138" s="3" t="inlineStr"/>
      <c r="AO138" s="5" t="n">
        <v>0</v>
      </c>
      <c r="AP138" s="5" t="n">
        <v>-56640</v>
      </c>
      <c r="AQ138" s="3" t="inlineStr"/>
    </row>
    <row r="139">
      <c r="A139" s="3" t="inlineStr">
        <is>
          <t>137</t>
        </is>
      </c>
      <c r="B139" s="3" t="inlineStr">
        <is>
          <t>NGS 260139</t>
        </is>
      </c>
      <c r="C139" s="4" t="n">
        <v>46125</v>
      </c>
      <c r="D139" s="3" t="inlineStr">
        <is>
          <t>April- 2026</t>
        </is>
      </c>
      <c r="E139" s="4" t="n">
        <v>46126</v>
      </c>
      <c r="F139" s="3" t="inlineStr">
        <is>
          <t>Neha Sharma</t>
        </is>
      </c>
      <c r="G139" s="3" t="inlineStr">
        <is>
          <t>Bhu</t>
        </is>
      </c>
      <c r="H139" s="3" t="inlineStr">
        <is>
          <t>Genecare Biotech</t>
        </is>
      </c>
      <c r="I139" s="3" t="inlineStr">
        <is>
          <t>naha@bhu.ac.in / genecarebiotech21@gmail.com</t>
        </is>
      </c>
      <c r="J139" s="3" t="inlineStr">
        <is>
          <t>8219312428</t>
        </is>
      </c>
      <c r="K139" s="3" t="inlineStr">
        <is>
          <t>Bioinformatics Analysis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With Analysis</t>
        </is>
      </c>
      <c r="O139" s="3" t="n">
        <v>4</v>
      </c>
      <c r="P139" s="3" t="inlineStr"/>
      <c r="Q139" s="3" t="inlineStr"/>
      <c r="R139" s="3" t="n">
        <v>0</v>
      </c>
      <c r="S139" s="3" t="n">
        <v>5000</v>
      </c>
      <c r="T139" s="5" t="n">
        <v>20000</v>
      </c>
      <c r="U139" s="5" t="n">
        <v>3600</v>
      </c>
      <c r="V139" s="5" t="n">
        <v>23600</v>
      </c>
      <c r="W139" s="3" t="inlineStr">
        <is>
          <t>UG/NGS/TP/2601474</t>
        </is>
      </c>
      <c r="X139" s="3" t="inlineStr">
        <is>
          <t xml:space="preserve">Harsh </t>
        </is>
      </c>
      <c r="Y139" s="3" t="inlineStr">
        <is>
          <t>Up</t>
        </is>
      </c>
      <c r="Z139" s="3" t="inlineStr">
        <is>
          <t>Varanasi</t>
        </is>
      </c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5" t="n">
        <v>0</v>
      </c>
      <c r="AL139" s="5" t="n">
        <v>0</v>
      </c>
      <c r="AM139" s="5" t="n">
        <v>0</v>
      </c>
      <c r="AN139" s="3" t="inlineStr"/>
      <c r="AO139" s="5" t="n">
        <v>0</v>
      </c>
      <c r="AP139" s="5" t="n">
        <v>0</v>
      </c>
      <c r="AQ139" s="3" t="inlineStr"/>
    </row>
    <row r="140">
      <c r="A140" s="3" t="inlineStr">
        <is>
          <t>138</t>
        </is>
      </c>
      <c r="B140" s="3" t="inlineStr">
        <is>
          <t>Re_NGS 260140</t>
        </is>
      </c>
      <c r="C140" s="4" t="n">
        <v>46125</v>
      </c>
      <c r="D140" s="3" t="inlineStr">
        <is>
          <t>April- 2026</t>
        </is>
      </c>
      <c r="E140" s="4" t="n">
        <v>46126</v>
      </c>
      <c r="F140" s="3" t="inlineStr">
        <is>
          <t>Sudharson Narayanan</t>
        </is>
      </c>
      <c r="G140" s="3" t="inlineStr">
        <is>
          <t>Symbiont Life Sciences</t>
        </is>
      </c>
      <c r="H140" s="3" t="inlineStr">
        <is>
          <t>Symbiont Life Sciences</t>
        </is>
      </c>
      <c r="I140" s="3" t="inlineStr">
        <is>
          <t>symbiontcs@gmail.com</t>
        </is>
      </c>
      <c r="J140" s="3" t="inlineStr">
        <is>
          <t>8838222756</t>
        </is>
      </c>
      <c r="K140" s="3" t="inlineStr">
        <is>
          <t>Transcriptome Sequencing &amp; Analysis On Illumina Novaseq X Plus Platform</t>
        </is>
      </c>
      <c r="L140" s="3" t="inlineStr">
        <is>
          <t>Plant Tissue</t>
        </is>
      </c>
      <c r="M140" s="3" t="inlineStr">
        <is>
          <t>Wts Seq</t>
        </is>
      </c>
      <c r="N140" s="3" t="inlineStr">
        <is>
          <t>With Analysis</t>
        </is>
      </c>
      <c r="O140" s="3" t="n">
        <v>2</v>
      </c>
      <c r="P140" s="3" t="inlineStr">
        <is>
          <t>6 GB/Sample</t>
        </is>
      </c>
      <c r="Q140" s="3" t="n">
        <v>6</v>
      </c>
      <c r="R140" s="3" t="n">
        <v>12</v>
      </c>
      <c r="S140" s="3" t="n">
        <v>12500</v>
      </c>
      <c r="T140" s="5" t="n">
        <v>25000</v>
      </c>
      <c r="U140" s="5" t="n">
        <v>4500</v>
      </c>
      <c r="V140" s="5" t="n">
        <v>29500</v>
      </c>
      <c r="W140" s="3" t="inlineStr">
        <is>
          <t>UG/NGS/TP/2503581</t>
        </is>
      </c>
      <c r="X140" s="3" t="inlineStr">
        <is>
          <t>Pugalendhi</t>
        </is>
      </c>
      <c r="Y140" s="3" t="inlineStr">
        <is>
          <t>South</t>
        </is>
      </c>
      <c r="Z140" s="3" t="inlineStr">
        <is>
          <t>Chennai</t>
        </is>
      </c>
      <c r="AA140" s="3" t="n">
        <v>0</v>
      </c>
      <c r="AB140" s="3" t="n">
        <v>2</v>
      </c>
      <c r="AC140" s="4" t="n">
        <v>46129</v>
      </c>
      <c r="AD140" s="3" t="n">
        <v>3</v>
      </c>
      <c r="AE140" s="3" t="inlineStr"/>
      <c r="AF140" s="3" t="inlineStr"/>
      <c r="AG140" s="3" t="inlineStr"/>
      <c r="AH140" s="3" t="inlineStr"/>
      <c r="AI140" s="3" t="inlineStr"/>
      <c r="AJ140" s="3" t="inlineStr">
        <is>
          <t>QC Fail</t>
        </is>
      </c>
      <c r="AK140" s="5" t="n">
        <v>0</v>
      </c>
      <c r="AL140" s="5" t="n">
        <v>0</v>
      </c>
      <c r="AM140" s="5" t="n">
        <v>0</v>
      </c>
      <c r="AN140" s="3" t="inlineStr"/>
      <c r="AO140" s="5" t="n">
        <v>0</v>
      </c>
      <c r="AP140" s="5" t="n">
        <v>0</v>
      </c>
      <c r="AQ140" s="3" t="inlineStr"/>
    </row>
    <row r="141">
      <c r="A141" s="3" t="inlineStr">
        <is>
          <t>139</t>
        </is>
      </c>
      <c r="B141" s="3" t="inlineStr">
        <is>
          <t>NGS 260141</t>
        </is>
      </c>
      <c r="C141" s="4" t="n">
        <v>46125</v>
      </c>
      <c r="D141" s="3" t="inlineStr">
        <is>
          <t>April- 2026</t>
        </is>
      </c>
      <c r="E141" s="4" t="n">
        <v>46127</v>
      </c>
      <c r="F141" s="3" t="inlineStr">
        <is>
          <t>Sudharson Narayanan</t>
        </is>
      </c>
      <c r="G141" s="3" t="inlineStr">
        <is>
          <t>Symbiont Life Sciences</t>
        </is>
      </c>
      <c r="H141" s="3" t="inlineStr">
        <is>
          <t>Symbiont Life Sciences</t>
        </is>
      </c>
      <c r="I141" s="3" t="inlineStr">
        <is>
          <t>symbiontcs@gmail.com</t>
        </is>
      </c>
      <c r="J141" s="3" t="inlineStr">
        <is>
          <t>8838222756</t>
        </is>
      </c>
      <c r="K141" s="3" t="inlineStr">
        <is>
          <t>Whole Transcriptome Sequencing &amp; Analysis On Illumina Novaseq X Plus Platform (Ribodepletion)</t>
        </is>
      </c>
      <c r="L141" s="3" t="inlineStr">
        <is>
          <t>RNA</t>
        </is>
      </c>
      <c r="M141" s="3" t="inlineStr">
        <is>
          <t>Wts Seq</t>
        </is>
      </c>
      <c r="N141" s="3" t="inlineStr">
        <is>
          <t>With Analysis</t>
        </is>
      </c>
      <c r="O141" s="3" t="n">
        <v>4</v>
      </c>
      <c r="P141" s="3" t="inlineStr">
        <is>
          <t>6-8 GB/Sample</t>
        </is>
      </c>
      <c r="Q141" s="3" t="n">
        <v>8</v>
      </c>
      <c r="R141" s="3" t="n">
        <v>32</v>
      </c>
      <c r="S141" s="3" t="n">
        <v>15500</v>
      </c>
      <c r="T141" s="5" t="n">
        <v>62000</v>
      </c>
      <c r="U141" s="5" t="n">
        <v>11160</v>
      </c>
      <c r="V141" s="5" t="n">
        <v>73160</v>
      </c>
      <c r="W141" s="3" t="inlineStr">
        <is>
          <t>UG/NGS/TP/2507876R1</t>
        </is>
      </c>
      <c r="X141" s="3" t="inlineStr">
        <is>
          <t>Pugalendhi</t>
        </is>
      </c>
      <c r="Y141" s="3" t="inlineStr">
        <is>
          <t>South</t>
        </is>
      </c>
      <c r="Z141" s="3" t="inlineStr">
        <is>
          <t>Chennai</t>
        </is>
      </c>
      <c r="AA141" s="3" t="n">
        <v>0</v>
      </c>
      <c r="AB141" s="3" t="n">
        <v>4</v>
      </c>
      <c r="AC141" s="4" t="n">
        <v>46130</v>
      </c>
      <c r="AD141" s="3" t="n">
        <v>3</v>
      </c>
      <c r="AE141" s="3" t="inlineStr"/>
      <c r="AF141" s="3" t="inlineStr"/>
      <c r="AG141" s="3" t="inlineStr"/>
      <c r="AH141" s="3" t="inlineStr"/>
      <c r="AI141" s="3" t="inlineStr"/>
      <c r="AJ141" s="3" t="inlineStr">
        <is>
          <t>QC Fail</t>
        </is>
      </c>
      <c r="AK141" s="5" t="n">
        <v>0</v>
      </c>
      <c r="AL141" s="5" t="n">
        <v>0</v>
      </c>
      <c r="AM141" s="5" t="n">
        <v>0</v>
      </c>
      <c r="AN141" s="3" t="inlineStr"/>
      <c r="AO141" s="5" t="n">
        <v>0</v>
      </c>
      <c r="AP141" s="5" t="n">
        <v>0</v>
      </c>
      <c r="AQ141" s="3" t="inlineStr"/>
    </row>
    <row r="142">
      <c r="A142" s="3" t="inlineStr">
        <is>
          <t>140</t>
        </is>
      </c>
      <c r="B142" s="3" t="inlineStr">
        <is>
          <t>NGS 260142</t>
        </is>
      </c>
      <c r="C142" s="4" t="n">
        <v>46125</v>
      </c>
      <c r="D142" s="3" t="inlineStr">
        <is>
          <t>April- 2026</t>
        </is>
      </c>
      <c r="E142" s="4" t="n">
        <v>46126</v>
      </c>
      <c r="F142" s="3" t="inlineStr">
        <is>
          <t>Mr.Digil</t>
        </is>
      </c>
      <c r="G142" s="3" t="inlineStr">
        <is>
          <t>Geno Connect Services Private Limited</t>
        </is>
      </c>
      <c r="H142" s="3" t="inlineStr">
        <is>
          <t>Geno Connect Services Private Limited</t>
        </is>
      </c>
      <c r="I142" s="3" t="inlineStr">
        <is>
          <t>Genoconnect.pvt.ltd@gmail.com</t>
        </is>
      </c>
      <c r="J142" s="3" t="inlineStr">
        <is>
          <t>9400039514</t>
        </is>
      </c>
      <c r="K142" s="3" t="inlineStr">
        <is>
          <t>Low Pass Whole Genome Sequencing On Illumina Novaseq X Plus Platform</t>
        </is>
      </c>
      <c r="L142" s="3" t="inlineStr">
        <is>
          <t>Swab Samples</t>
        </is>
      </c>
      <c r="M142" s="3" t="inlineStr">
        <is>
          <t>Low Pass Wgs</t>
        </is>
      </c>
      <c r="N142" s="3" t="inlineStr">
        <is>
          <t xml:space="preserve">Without Analysis </t>
        </is>
      </c>
      <c r="O142" s="3" t="n">
        <v>1</v>
      </c>
      <c r="P142" s="3" t="inlineStr">
        <is>
          <t>15 GB/sample (5 X Coverage)</t>
        </is>
      </c>
      <c r="Q142" s="3" t="n">
        <v>15</v>
      </c>
      <c r="R142" s="3" t="n">
        <v>15</v>
      </c>
      <c r="S142" s="3" t="n">
        <v>3000</v>
      </c>
      <c r="T142" s="5" t="n">
        <v>3000</v>
      </c>
      <c r="U142" s="5" t="n">
        <v>540</v>
      </c>
      <c r="V142" s="5" t="n">
        <v>3540</v>
      </c>
      <c r="W142" s="3" t="inlineStr">
        <is>
          <t>UG/NGS/TP/2512388R1</t>
        </is>
      </c>
      <c r="X142" s="3" t="inlineStr">
        <is>
          <t>Direct</t>
        </is>
      </c>
      <c r="Y142" s="3" t="inlineStr">
        <is>
          <t>South</t>
        </is>
      </c>
      <c r="Z142" s="3" t="inlineStr">
        <is>
          <t>Kozhikode</t>
        </is>
      </c>
      <c r="AA142" s="3" t="n">
        <v>1</v>
      </c>
      <c r="AB142" s="3" t="n">
        <v>0</v>
      </c>
      <c r="AC142" s="4" t="n">
        <v>46129</v>
      </c>
      <c r="AD142" s="3" t="n">
        <v>3</v>
      </c>
      <c r="AE142" s="3" t="inlineStr">
        <is>
          <t>124 &amp; 130</t>
        </is>
      </c>
      <c r="AF142" s="4" t="n">
        <v>46163</v>
      </c>
      <c r="AG142" s="3" t="inlineStr"/>
      <c r="AH142" s="3" t="inlineStr">
        <is>
          <t>UPL/GEN/2627/43</t>
        </is>
      </c>
      <c r="AI142" s="4" t="n">
        <v>46171</v>
      </c>
      <c r="AJ142" s="3" t="inlineStr">
        <is>
          <t xml:space="preserve"> Project Closure</t>
        </is>
      </c>
      <c r="AK142" s="5" t="n">
        <v>3000</v>
      </c>
      <c r="AL142" s="5" t="n">
        <v>540</v>
      </c>
      <c r="AM142" s="5" t="n">
        <v>3540</v>
      </c>
      <c r="AN142" s="3" t="n">
        <v>48</v>
      </c>
      <c r="AO142" s="5" t="n">
        <v>3540</v>
      </c>
      <c r="AP142" s="5" t="n">
        <v>0</v>
      </c>
      <c r="AQ142" s="4" t="n">
        <v>46162</v>
      </c>
    </row>
    <row r="143">
      <c r="A143" s="3" t="inlineStr">
        <is>
          <t>141</t>
        </is>
      </c>
      <c r="B143" s="3" t="inlineStr">
        <is>
          <t>NGS 260143</t>
        </is>
      </c>
      <c r="C143" s="4" t="n">
        <v>46129</v>
      </c>
      <c r="D143" s="3" t="inlineStr">
        <is>
          <t>April- 2026</t>
        </is>
      </c>
      <c r="E143" s="4" t="n">
        <v>46129</v>
      </c>
      <c r="F143" s="3" t="inlineStr">
        <is>
          <t>Dr. Ravi Maruthachalam</t>
        </is>
      </c>
      <c r="G143" s="3" t="inlineStr">
        <is>
          <t>Iiser Tvm</t>
        </is>
      </c>
      <c r="H143" s="3" t="inlineStr">
        <is>
          <t>Iiser Tvm</t>
        </is>
      </c>
      <c r="I143" s="3" t="inlineStr">
        <is>
          <t>ravi@iisertvm.ac.in</t>
        </is>
      </c>
      <c r="J143" s="3" t="inlineStr">
        <is>
          <t>8178922253</t>
        </is>
      </c>
      <c r="K143" s="3" t="inlineStr">
        <is>
          <t>RNA Sequencing &amp; Analysis On Illumina Novaseq X Plus Platform</t>
        </is>
      </c>
      <c r="L143" s="3" t="inlineStr">
        <is>
          <t>Leaf Tissue</t>
        </is>
      </c>
      <c r="M143" s="3" t="inlineStr">
        <is>
          <t>RNA Seq</t>
        </is>
      </c>
      <c r="N143" s="3" t="inlineStr">
        <is>
          <t>With Analysis</t>
        </is>
      </c>
      <c r="O143" s="3" t="n">
        <v>10</v>
      </c>
      <c r="P143" s="3" t="inlineStr">
        <is>
          <t>5-6 GB/Sample</t>
        </is>
      </c>
      <c r="Q143" s="3" t="n">
        <v>6</v>
      </c>
      <c r="R143" s="3" t="n">
        <v>60</v>
      </c>
      <c r="S143" s="3" t="n">
        <v>13000</v>
      </c>
      <c r="T143" s="5" t="n">
        <v>130000</v>
      </c>
      <c r="U143" s="5" t="n">
        <v>23400</v>
      </c>
      <c r="V143" s="5" t="n">
        <v>153400</v>
      </c>
      <c r="W143" s="3" t="inlineStr">
        <is>
          <t>UG/NGS/TP/2511311R4</t>
        </is>
      </c>
      <c r="X143" s="3" t="inlineStr">
        <is>
          <t xml:space="preserve">Theertha </t>
        </is>
      </c>
      <c r="Y143" s="3" t="inlineStr">
        <is>
          <t>South</t>
        </is>
      </c>
      <c r="Z143" s="3" t="inlineStr">
        <is>
          <t>Thiruvananthapuram</t>
        </is>
      </c>
      <c r="AA143" s="3" t="n">
        <v>10</v>
      </c>
      <c r="AB143" s="3" t="n">
        <v>0</v>
      </c>
      <c r="AC143" s="4" t="n">
        <v>46133</v>
      </c>
      <c r="AD143" s="3" t="n">
        <v>4</v>
      </c>
      <c r="AE143" s="3" t="inlineStr">
        <is>
          <t>124</t>
        </is>
      </c>
      <c r="AF143" s="3" t="inlineStr"/>
      <c r="AG143" s="3" t="inlineStr"/>
      <c r="AH143" s="3" t="inlineStr"/>
      <c r="AI143" s="3" t="inlineStr"/>
      <c r="AJ143" s="3" t="inlineStr"/>
      <c r="AK143" s="5" t="n">
        <v>130000</v>
      </c>
      <c r="AL143" s="5" t="n">
        <v>23400</v>
      </c>
      <c r="AM143" s="5" t="n">
        <v>153400</v>
      </c>
      <c r="AN143" s="3" t="inlineStr"/>
      <c r="AO143" s="5" t="n">
        <v>0</v>
      </c>
      <c r="AP143" s="5" t="n">
        <v>-153400</v>
      </c>
      <c r="AQ143" s="3" t="inlineStr"/>
    </row>
    <row r="144">
      <c r="A144" s="3" t="inlineStr">
        <is>
          <t>142</t>
        </is>
      </c>
      <c r="B144" s="3" t="inlineStr">
        <is>
          <t>NGS 260144</t>
        </is>
      </c>
      <c r="C144" s="4" t="n">
        <v>46129</v>
      </c>
      <c r="D144" s="3" t="inlineStr">
        <is>
          <t>April- 2026</t>
        </is>
      </c>
      <c r="E144" s="4" t="n">
        <v>46133</v>
      </c>
      <c r="F144" s="3" t="inlineStr">
        <is>
          <t>Dr. Rahul Satarkar</t>
        </is>
      </c>
      <c r="G144" s="3" t="inlineStr">
        <is>
          <t>Aiims Raipur</t>
        </is>
      </c>
      <c r="H144" s="3" t="inlineStr">
        <is>
          <t>Aiims Raipur</t>
        </is>
      </c>
      <c r="I144" s="3" t="inlineStr">
        <is>
          <t>nishaamishra099@gmail.com</t>
        </is>
      </c>
      <c r="J144" s="3" t="inlineStr">
        <is>
          <t>9039591691</t>
        </is>
      </c>
      <c r="K144" s="3" t="inlineStr">
        <is>
          <t>Pole Gene Mutation Analysis</t>
        </is>
      </c>
      <c r="L144" s="3" t="inlineStr">
        <is>
          <t>Ffpe Tissue</t>
        </is>
      </c>
      <c r="M144" s="3" t="inlineStr">
        <is>
          <t>N/A</t>
        </is>
      </c>
      <c r="N144" s="3" t="inlineStr">
        <is>
          <t>With Analysis</t>
        </is>
      </c>
      <c r="O144" s="3" t="n">
        <v>26</v>
      </c>
      <c r="P144" s="3" t="inlineStr"/>
      <c r="Q144" s="3" t="inlineStr"/>
      <c r="R144" s="3" t="n">
        <v>0</v>
      </c>
      <c r="S144" s="3" t="n">
        <v>8500</v>
      </c>
      <c r="T144" s="5" t="n">
        <v>221000</v>
      </c>
      <c r="U144" s="5" t="n">
        <v>39780</v>
      </c>
      <c r="V144" s="5" t="n">
        <v>260780</v>
      </c>
      <c r="W144" s="3" t="inlineStr">
        <is>
          <t>UG/NGS/TP/2504613</t>
        </is>
      </c>
      <c r="X144" s="3" t="inlineStr">
        <is>
          <t>Direct</t>
        </is>
      </c>
      <c r="Y144" s="3" t="inlineStr">
        <is>
          <t>North</t>
        </is>
      </c>
      <c r="Z144" s="3" t="inlineStr">
        <is>
          <t>Raipur</t>
        </is>
      </c>
      <c r="AA144" s="3" t="n">
        <v>26</v>
      </c>
      <c r="AB144" s="3" t="n">
        <v>0</v>
      </c>
      <c r="AC144" s="4" t="n">
        <v>46137</v>
      </c>
      <c r="AD144" s="3" t="n">
        <v>4</v>
      </c>
      <c r="AE144" s="3" t="inlineStr">
        <is>
          <t>126 &amp; 141</t>
        </is>
      </c>
      <c r="AF144" s="3" t="inlineStr"/>
      <c r="AG144" s="3" t="inlineStr"/>
      <c r="AH144" s="3" t="inlineStr"/>
      <c r="AI144" s="3" t="inlineStr"/>
      <c r="AJ144" s="3" t="inlineStr"/>
      <c r="AK144" s="5" t="n">
        <v>221000</v>
      </c>
      <c r="AL144" s="5" t="n">
        <v>39780</v>
      </c>
      <c r="AM144" s="5" t="n">
        <v>260780</v>
      </c>
      <c r="AN144" s="3" t="inlineStr"/>
      <c r="AO144" s="5" t="n">
        <v>0</v>
      </c>
      <c r="AP144" s="5" t="n">
        <v>-260780</v>
      </c>
      <c r="AQ144" s="3" t="inlineStr"/>
    </row>
    <row r="145">
      <c r="A145" s="3" t="inlineStr">
        <is>
          <t>143</t>
        </is>
      </c>
      <c r="B145" s="3" t="inlineStr">
        <is>
          <t>NGS 260145</t>
        </is>
      </c>
      <c r="C145" s="4" t="n">
        <v>46129</v>
      </c>
      <c r="D145" s="3" t="inlineStr">
        <is>
          <t>April- 2026</t>
        </is>
      </c>
      <c r="E145" s="4" t="n">
        <v>46129</v>
      </c>
      <c r="F145" s="3" t="inlineStr">
        <is>
          <t>Dr. Shaji R V</t>
        </is>
      </c>
      <c r="G145" s="3" t="inlineStr">
        <is>
          <t>Cmc Vellore</t>
        </is>
      </c>
      <c r="H145" s="3" t="inlineStr">
        <is>
          <t>Cmc Vellore</t>
        </is>
      </c>
      <c r="I145" s="3" t="inlineStr">
        <is>
          <t>rvshaji@cmcvellore.ac.in/ manasi.rane@cmcvellore.ac.in</t>
        </is>
      </c>
      <c r="J145" s="3" t="inlineStr">
        <is>
          <t>9689109681/9751366680</t>
        </is>
      </c>
      <c r="K145" s="3" t="inlineStr">
        <is>
          <t>Transcriptome Sequencing On Illumina Novaseq X Plus Platform</t>
        </is>
      </c>
      <c r="L145" s="3" t="inlineStr">
        <is>
          <t>RNA</t>
        </is>
      </c>
      <c r="M145" s="3" t="inlineStr">
        <is>
          <t>Wts Seq</t>
        </is>
      </c>
      <c r="N145" s="3" t="inlineStr">
        <is>
          <t xml:space="preserve">Without Analysis </t>
        </is>
      </c>
      <c r="O145" s="3" t="n">
        <v>15</v>
      </c>
      <c r="P145" s="3" t="inlineStr">
        <is>
          <t>40 million reads per sample (6GB / Ssample)</t>
        </is>
      </c>
      <c r="Q145" s="3" t="n">
        <v>6</v>
      </c>
      <c r="R145" s="3" t="n">
        <v>90</v>
      </c>
      <c r="S145" s="3" t="n">
        <v>10000</v>
      </c>
      <c r="T145" s="5" t="n">
        <v>150000</v>
      </c>
      <c r="U145" s="5" t="n">
        <v>27000</v>
      </c>
      <c r="V145" s="5" t="n">
        <v>177000</v>
      </c>
      <c r="W145" s="3" t="inlineStr">
        <is>
          <t>UG/NGS/TP/2603624R1</t>
        </is>
      </c>
      <c r="X145" s="3" t="inlineStr">
        <is>
          <t>Pugalendhi</t>
        </is>
      </c>
      <c r="Y145" s="3" t="inlineStr">
        <is>
          <t>South</t>
        </is>
      </c>
      <c r="Z145" s="3" t="inlineStr">
        <is>
          <t>Vellore</t>
        </is>
      </c>
      <c r="AA145" s="3" t="n">
        <v>15</v>
      </c>
      <c r="AB145" s="3" t="n">
        <v>0</v>
      </c>
      <c r="AC145" s="4" t="n">
        <v>46130</v>
      </c>
      <c r="AD145" s="3" t="n">
        <v>1</v>
      </c>
      <c r="AE145" s="3" t="inlineStr">
        <is>
          <t>124</t>
        </is>
      </c>
      <c r="AF145" s="4" t="n">
        <v>46156</v>
      </c>
      <c r="AG145" s="3" t="inlineStr"/>
      <c r="AH145" s="3" t="inlineStr"/>
      <c r="AI145" s="3" t="inlineStr"/>
      <c r="AJ145" s="3" t="inlineStr">
        <is>
          <t xml:space="preserve"> Project Closure</t>
        </is>
      </c>
      <c r="AK145" s="5" t="n">
        <v>150000</v>
      </c>
      <c r="AL145" s="5" t="n">
        <v>27000</v>
      </c>
      <c r="AM145" s="5" t="n">
        <v>177000</v>
      </c>
      <c r="AN145" s="3" t="n">
        <v>46219</v>
      </c>
      <c r="AO145" s="5" t="n">
        <v>0</v>
      </c>
      <c r="AP145" s="5" t="n">
        <v>-177000</v>
      </c>
      <c r="AQ145" s="3" t="inlineStr"/>
    </row>
    <row r="146">
      <c r="A146" s="3" t="inlineStr">
        <is>
          <t>144</t>
        </is>
      </c>
      <c r="B146" s="3" t="inlineStr">
        <is>
          <t>NGS 260146</t>
        </is>
      </c>
      <c r="C146" s="4" t="n">
        <v>46132</v>
      </c>
      <c r="D146" s="3" t="inlineStr">
        <is>
          <t>April- 2026</t>
        </is>
      </c>
      <c r="E146" s="4" t="n">
        <v>46132</v>
      </c>
      <c r="F146" s="3" t="inlineStr">
        <is>
          <t>Vinay Kumar</t>
        </is>
      </c>
      <c r="G146" s="3" t="inlineStr">
        <is>
          <t>IIT, Kanpur</t>
        </is>
      </c>
      <c r="H146" s="3" t="inlineStr">
        <is>
          <t>Nature Scientific</t>
        </is>
      </c>
      <c r="I146" s="3" t="inlineStr">
        <is>
          <t>nscientific18@gmail.com</t>
        </is>
      </c>
      <c r="J146" s="3" t="inlineStr">
        <is>
          <t>8825705224</t>
        </is>
      </c>
      <c r="K146" s="3" t="inlineStr">
        <is>
          <t>RNA Sequencing On Illumina Novaseq X Plus Platform</t>
        </is>
      </c>
      <c r="L146" s="3" t="inlineStr">
        <is>
          <t>RNA</t>
        </is>
      </c>
      <c r="M146" s="3" t="inlineStr">
        <is>
          <t>RNA Seq</t>
        </is>
      </c>
      <c r="N146" s="3" t="inlineStr">
        <is>
          <t xml:space="preserve">Without Analysis </t>
        </is>
      </c>
      <c r="O146" s="3" t="n">
        <v>18</v>
      </c>
      <c r="P146" s="3" t="inlineStr">
        <is>
          <t>6 GB/sample</t>
        </is>
      </c>
      <c r="Q146" s="3" t="n">
        <v>6</v>
      </c>
      <c r="R146" s="3" t="n">
        <v>108</v>
      </c>
      <c r="S146" s="3" t="n">
        <v>8000</v>
      </c>
      <c r="T146" s="5" t="n">
        <v>144000</v>
      </c>
      <c r="U146" s="5" t="n">
        <v>25920</v>
      </c>
      <c r="V146" s="5" t="n">
        <v>169920</v>
      </c>
      <c r="W146" s="3" t="inlineStr">
        <is>
          <t>UG/NGS/TP/2512381</t>
        </is>
      </c>
      <c r="X146" s="3" t="inlineStr">
        <is>
          <t>Ravi</t>
        </is>
      </c>
      <c r="Y146" s="3" t="inlineStr">
        <is>
          <t>Up</t>
        </is>
      </c>
      <c r="Z146" s="3" t="inlineStr">
        <is>
          <t>Lucknow</t>
        </is>
      </c>
      <c r="AA146" s="3" t="n">
        <v>18</v>
      </c>
      <c r="AB146" s="3" t="n">
        <v>0</v>
      </c>
      <c r="AC146" s="4" t="n">
        <v>46133</v>
      </c>
      <c r="AD146" s="3" t="n">
        <v>1</v>
      </c>
      <c r="AE146" s="3" t="inlineStr">
        <is>
          <t>122</t>
        </is>
      </c>
      <c r="AF146" s="4" t="n">
        <v>46147</v>
      </c>
      <c r="AG146" s="3" t="inlineStr"/>
      <c r="AH146" s="3" t="inlineStr">
        <is>
          <t>UPL/GEN/348/2526</t>
        </is>
      </c>
      <c r="AI146" s="4" t="n">
        <v>46091</v>
      </c>
      <c r="AJ146" s="3" t="inlineStr">
        <is>
          <t xml:space="preserve"> Project Closure</t>
        </is>
      </c>
      <c r="AK146" s="5" t="n">
        <v>144000</v>
      </c>
      <c r="AL146" s="5" t="n">
        <v>25920</v>
      </c>
      <c r="AM146" s="5" t="n">
        <v>169920</v>
      </c>
      <c r="AN146" s="3" t="n">
        <v>128</v>
      </c>
      <c r="AO146" s="5" t="n">
        <v>169920</v>
      </c>
      <c r="AP146" s="5" t="n">
        <v>0</v>
      </c>
      <c r="AQ146" s="3" t="inlineStr"/>
    </row>
    <row r="147">
      <c r="A147" s="3" t="inlineStr">
        <is>
          <t>145</t>
        </is>
      </c>
      <c r="B147" s="3" t="inlineStr">
        <is>
          <t>Re-NGS 260147</t>
        </is>
      </c>
      <c r="C147" s="4" t="n">
        <v>46170</v>
      </c>
      <c r="D147" s="3" t="inlineStr">
        <is>
          <t>May- 2026</t>
        </is>
      </c>
      <c r="E147" s="4" t="n">
        <v>46139</v>
      </c>
      <c r="F147" s="3" t="inlineStr">
        <is>
          <t>Sudharson Narayanan</t>
        </is>
      </c>
      <c r="G147" s="3" t="inlineStr">
        <is>
          <t>Symbiont Life Sciences</t>
        </is>
      </c>
      <c r="H147" s="3" t="inlineStr">
        <is>
          <t>Symbiont Life Sciences</t>
        </is>
      </c>
      <c r="I147" s="3" t="inlineStr">
        <is>
          <t>symbiontcs@gmail.com</t>
        </is>
      </c>
      <c r="J147" s="3" t="inlineStr">
        <is>
          <t>8838222756</t>
        </is>
      </c>
      <c r="K147" s="3" t="inlineStr">
        <is>
          <t>Whole Genome Sequencing &amp; Analysis On Illumina Novaseq X Plus Platform</t>
        </is>
      </c>
      <c r="L147" s="3" t="inlineStr">
        <is>
          <t>Polychaete Worm Tissue</t>
        </is>
      </c>
      <c r="M147" s="3" t="inlineStr">
        <is>
          <t>Wgs Seq</t>
        </is>
      </c>
      <c r="N147" s="3" t="inlineStr">
        <is>
          <t>With Analysis</t>
        </is>
      </c>
      <c r="O147" s="3" t="n">
        <v>1</v>
      </c>
      <c r="P147" s="3" t="inlineStr">
        <is>
          <t>180-200 GB/Sample</t>
        </is>
      </c>
      <c r="Q147" s="3" t="n">
        <v>200</v>
      </c>
      <c r="R147" s="3" t="n">
        <v>200</v>
      </c>
      <c r="S147" s="3" t="n">
        <v>125000</v>
      </c>
      <c r="T147" s="5" t="n">
        <v>125000</v>
      </c>
      <c r="U147" s="5" t="n">
        <v>22500</v>
      </c>
      <c r="V147" s="5" t="n">
        <v>147500</v>
      </c>
      <c r="W147" s="3" t="inlineStr">
        <is>
          <t>UG/NGS/TP/2604661</t>
        </is>
      </c>
      <c r="X147" s="3" t="inlineStr">
        <is>
          <t>Pugalendhi</t>
        </is>
      </c>
      <c r="Y147" s="3" t="inlineStr">
        <is>
          <t>South</t>
        </is>
      </c>
      <c r="Z147" s="3" t="inlineStr">
        <is>
          <t>Chennai</t>
        </is>
      </c>
      <c r="AA147" s="3" t="n">
        <v>1</v>
      </c>
      <c r="AB147" s="3" t="n">
        <v>0</v>
      </c>
      <c r="AC147" s="4" t="n">
        <v>46184</v>
      </c>
      <c r="AD147" s="3" t="n">
        <v>45</v>
      </c>
      <c r="AE147" s="3" t="inlineStr">
        <is>
          <t>138</t>
        </is>
      </c>
      <c r="AF147" s="3" t="inlineStr"/>
      <c r="AG147" s="3" t="inlineStr"/>
      <c r="AH147" s="3" t="inlineStr"/>
      <c r="AI147" s="3" t="inlineStr"/>
      <c r="AJ147" s="3" t="inlineStr">
        <is>
          <t>QC Fail</t>
        </is>
      </c>
      <c r="AK147" s="5" t="n">
        <v>125000</v>
      </c>
      <c r="AL147" s="5" t="n">
        <v>22500</v>
      </c>
      <c r="AM147" s="5" t="n">
        <v>147500</v>
      </c>
      <c r="AN147" s="3" t="inlineStr"/>
      <c r="AO147" s="5" t="n">
        <v>0</v>
      </c>
      <c r="AP147" s="5" t="n">
        <v>-147500</v>
      </c>
      <c r="AQ147" s="3" t="inlineStr"/>
    </row>
    <row r="148">
      <c r="A148" s="3" t="inlineStr">
        <is>
          <t>146</t>
        </is>
      </c>
      <c r="B148" s="3" t="inlineStr">
        <is>
          <t>NGS 260148</t>
        </is>
      </c>
      <c r="C148" s="4" t="n">
        <v>46132</v>
      </c>
      <c r="D148" s="3" t="inlineStr">
        <is>
          <t>April- 2026</t>
        </is>
      </c>
      <c r="E148" s="4" t="n">
        <v>46135</v>
      </c>
      <c r="F148" s="3" t="inlineStr">
        <is>
          <t>Sudharson Narayanan</t>
        </is>
      </c>
      <c r="G148" s="3" t="inlineStr">
        <is>
          <t>Symbiont Life Sciences</t>
        </is>
      </c>
      <c r="H148" s="3" t="inlineStr">
        <is>
          <t>Symbiont Life Sciences</t>
        </is>
      </c>
      <c r="I148" s="3" t="inlineStr">
        <is>
          <t>symbiontcs@gmail.com</t>
        </is>
      </c>
      <c r="J148" s="3" t="inlineStr">
        <is>
          <t>8838222756</t>
        </is>
      </c>
      <c r="K148" s="3" t="inlineStr">
        <is>
          <t>16S Rrna Metagenome V3-V4 Sequencing &amp; Analysis On Illumina Platforms</t>
        </is>
      </c>
      <c r="L148" s="3" t="inlineStr">
        <is>
          <t>Env (Oral)</t>
        </is>
      </c>
      <c r="M148" s="3" t="inlineStr">
        <is>
          <t>16S Seq</t>
        </is>
      </c>
      <c r="N148" s="3" t="inlineStr">
        <is>
          <t>With Analysis</t>
        </is>
      </c>
      <c r="O148" s="3" t="n">
        <v>1</v>
      </c>
      <c r="P148" s="3" t="inlineStr">
        <is>
          <t>1,00,000 reads/sample</t>
        </is>
      </c>
      <c r="Q148" s="3" t="inlineStr"/>
      <c r="R148" s="3" t="n">
        <v>0</v>
      </c>
      <c r="S148" s="3" t="n">
        <v>6000</v>
      </c>
      <c r="T148" s="5" t="n">
        <v>6000</v>
      </c>
      <c r="U148" s="5" t="n">
        <v>1080</v>
      </c>
      <c r="V148" s="5" t="n">
        <v>7080</v>
      </c>
      <c r="W148" s="3" t="inlineStr">
        <is>
          <t>UG/NGS/TP/2303214R2</t>
        </is>
      </c>
      <c r="X148" s="3" t="inlineStr">
        <is>
          <t>Pugalendhi</t>
        </is>
      </c>
      <c r="Y148" s="3" t="inlineStr">
        <is>
          <t>South</t>
        </is>
      </c>
      <c r="Z148" s="3" t="inlineStr">
        <is>
          <t>Chennai</t>
        </is>
      </c>
      <c r="AA148" s="3" t="n">
        <v>1</v>
      </c>
      <c r="AB148" s="3" t="n">
        <v>0</v>
      </c>
      <c r="AC148" s="4" t="n">
        <v>46146</v>
      </c>
      <c r="AD148" s="3" t="n">
        <v>11</v>
      </c>
      <c r="AE148" s="3" t="inlineStr">
        <is>
          <t>16s Batch -35</t>
        </is>
      </c>
      <c r="AF148" s="3" t="inlineStr"/>
      <c r="AG148" s="4" t="n">
        <v>46199</v>
      </c>
      <c r="AH148" s="3" t="inlineStr"/>
      <c r="AI148" s="3" t="inlineStr"/>
      <c r="AJ148" s="3" t="inlineStr">
        <is>
          <t xml:space="preserve"> Project Closure</t>
        </is>
      </c>
      <c r="AK148" s="5" t="n">
        <v>6000</v>
      </c>
      <c r="AL148" s="5" t="n">
        <v>1080</v>
      </c>
      <c r="AM148" s="5" t="n">
        <v>7080</v>
      </c>
      <c r="AN148" s="3" t="inlineStr"/>
      <c r="AO148" s="5" t="n">
        <v>0</v>
      </c>
      <c r="AP148" s="5" t="n">
        <v>-7080</v>
      </c>
      <c r="AQ148" s="3" t="inlineStr"/>
    </row>
    <row r="149">
      <c r="A149" s="3" t="inlineStr">
        <is>
          <t>147</t>
        </is>
      </c>
      <c r="B149" s="3" t="inlineStr">
        <is>
          <t>NGS 260149</t>
        </is>
      </c>
      <c r="C149" s="4" t="n">
        <v>46132</v>
      </c>
      <c r="D149" s="3" t="inlineStr">
        <is>
          <t>April- 2026</t>
        </is>
      </c>
      <c r="E149" s="4" t="n">
        <v>46135</v>
      </c>
      <c r="F149" s="3" t="inlineStr">
        <is>
          <t>Sudharson Narayanan</t>
        </is>
      </c>
      <c r="G149" s="3" t="inlineStr">
        <is>
          <t>Symbiont Life Sciences</t>
        </is>
      </c>
      <c r="H149" s="3" t="inlineStr">
        <is>
          <t>Symbiont Life Sciences</t>
        </is>
      </c>
      <c r="I149" s="3" t="inlineStr">
        <is>
          <t>symbiontcs@gmail.com</t>
        </is>
      </c>
      <c r="J149" s="3" t="inlineStr">
        <is>
          <t>8838222756</t>
        </is>
      </c>
      <c r="K149" s="3" t="inlineStr">
        <is>
          <t>16S Rrna Metagenome V3-V4 Sequencing &amp; Analysis On Illumina Platforms</t>
        </is>
      </c>
      <c r="L149" s="3" t="inlineStr">
        <is>
          <t>Stool</t>
        </is>
      </c>
      <c r="M149" s="3" t="inlineStr">
        <is>
          <t>16S Seq</t>
        </is>
      </c>
      <c r="N149" s="3" t="inlineStr">
        <is>
          <t>With Analysis</t>
        </is>
      </c>
      <c r="O149" s="3" t="n">
        <v>3</v>
      </c>
      <c r="P149" s="3" t="inlineStr">
        <is>
          <t>1,00,000 reads/sample</t>
        </is>
      </c>
      <c r="Q149" s="3" t="inlineStr"/>
      <c r="R149" s="3" t="n">
        <v>0</v>
      </c>
      <c r="S149" s="3" t="n">
        <v>6000</v>
      </c>
      <c r="T149" s="5" t="n">
        <v>18000</v>
      </c>
      <c r="U149" s="5" t="n">
        <v>3240</v>
      </c>
      <c r="V149" s="5" t="n">
        <v>21240</v>
      </c>
      <c r="W149" s="3" t="inlineStr">
        <is>
          <t>UG/NGS/TP/2303214R2</t>
        </is>
      </c>
      <c r="X149" s="3" t="inlineStr">
        <is>
          <t>Pugalendhi</t>
        </is>
      </c>
      <c r="Y149" s="3" t="inlineStr">
        <is>
          <t>South</t>
        </is>
      </c>
      <c r="Z149" s="3" t="inlineStr">
        <is>
          <t>Chennai</t>
        </is>
      </c>
      <c r="AA149" s="3" t="n">
        <v>0</v>
      </c>
      <c r="AB149" s="3" t="n">
        <v>3</v>
      </c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>
        <is>
          <t>Cancel Project ()</t>
        </is>
      </c>
      <c r="AK149" s="5" t="n">
        <v>0</v>
      </c>
      <c r="AL149" s="5" t="n">
        <v>0</v>
      </c>
      <c r="AM149" s="5" t="n">
        <v>0</v>
      </c>
      <c r="AN149" s="3" t="inlineStr"/>
      <c r="AO149" s="5" t="n">
        <v>0</v>
      </c>
      <c r="AP149" s="5" t="n">
        <v>0</v>
      </c>
      <c r="AQ149" s="3" t="inlineStr"/>
    </row>
    <row r="150">
      <c r="A150" s="3" t="inlineStr">
        <is>
          <t>148</t>
        </is>
      </c>
      <c r="B150" s="3" t="inlineStr">
        <is>
          <t>Re-NGS 260150</t>
        </is>
      </c>
      <c r="C150" s="4" t="n">
        <v>46132</v>
      </c>
      <c r="D150" s="3" t="inlineStr">
        <is>
          <t>April- 2026</t>
        </is>
      </c>
      <c r="E150" s="4" t="n">
        <v>46135</v>
      </c>
      <c r="F150" s="3" t="inlineStr">
        <is>
          <t>Sudharson Narayanan</t>
        </is>
      </c>
      <c r="G150" s="3" t="inlineStr">
        <is>
          <t>Symbiont Life Sciences</t>
        </is>
      </c>
      <c r="H150" s="3" t="inlineStr">
        <is>
          <t>Symbiont Life Sciences</t>
        </is>
      </c>
      <c r="I150" s="3" t="inlineStr">
        <is>
          <t>symbiontcs@gmail.com</t>
        </is>
      </c>
      <c r="J150" s="3" t="inlineStr">
        <is>
          <t>8838222756</t>
        </is>
      </c>
      <c r="K150" s="3" t="inlineStr">
        <is>
          <t>Transcriptome Sequencing &amp; Analysis On Illumina Platforms</t>
        </is>
      </c>
      <c r="L150" s="3" t="inlineStr">
        <is>
          <t>Fish Tissue</t>
        </is>
      </c>
      <c r="M150" s="3" t="inlineStr">
        <is>
          <t>Wts Seq</t>
        </is>
      </c>
      <c r="N150" s="3" t="inlineStr">
        <is>
          <t>With Analysis</t>
        </is>
      </c>
      <c r="O150" s="3" t="n">
        <v>12</v>
      </c>
      <c r="P150" s="3" t="inlineStr">
        <is>
          <t>8-9 GB /sample</t>
        </is>
      </c>
      <c r="Q150" s="3" t="n">
        <v>9</v>
      </c>
      <c r="R150" s="3" t="n">
        <v>108</v>
      </c>
      <c r="S150" s="3" t="n">
        <v>13500</v>
      </c>
      <c r="T150" s="5" t="n">
        <v>162000</v>
      </c>
      <c r="U150" s="5" t="n">
        <v>29160</v>
      </c>
      <c r="V150" s="5" t="n">
        <v>191160</v>
      </c>
      <c r="W150" s="3" t="inlineStr">
        <is>
          <t>UG/NGS/TP/2409987R1</t>
        </is>
      </c>
      <c r="X150" s="3" t="inlineStr">
        <is>
          <t>Pugalendhi</t>
        </is>
      </c>
      <c r="Y150" s="3" t="inlineStr">
        <is>
          <t>South</t>
        </is>
      </c>
      <c r="Z150" s="3" t="inlineStr">
        <is>
          <t>Chennai</t>
        </is>
      </c>
      <c r="AA150" s="3" t="n">
        <v>12</v>
      </c>
      <c r="AB150" s="3" t="n">
        <v>0</v>
      </c>
      <c r="AC150" s="4" t="n">
        <v>46162</v>
      </c>
      <c r="AD150" s="3" t="n">
        <v>27</v>
      </c>
      <c r="AE150" s="3" t="inlineStr">
        <is>
          <t>134 &amp; 135</t>
        </is>
      </c>
      <c r="AF150" s="3" t="inlineStr"/>
      <c r="AG150" s="3" t="inlineStr"/>
      <c r="AH150" s="3" t="inlineStr"/>
      <c r="AI150" s="3" t="inlineStr"/>
      <c r="AJ150" s="3" t="inlineStr"/>
      <c r="AK150" s="5" t="n">
        <v>162000</v>
      </c>
      <c r="AL150" s="5" t="n">
        <v>29160</v>
      </c>
      <c r="AM150" s="5" t="n">
        <v>191160</v>
      </c>
      <c r="AN150" s="3" t="inlineStr"/>
      <c r="AO150" s="5" t="n">
        <v>0</v>
      </c>
      <c r="AP150" s="5" t="n">
        <v>-191160</v>
      </c>
      <c r="AQ150" s="3" t="inlineStr"/>
    </row>
    <row r="151">
      <c r="A151" s="3" t="inlineStr">
        <is>
          <t>149</t>
        </is>
      </c>
      <c r="B151" s="3" t="inlineStr">
        <is>
          <t>NGS 260151</t>
        </is>
      </c>
      <c r="C151" s="4" t="n">
        <v>46136</v>
      </c>
      <c r="D151" s="3" t="inlineStr">
        <is>
          <t>April- 2026</t>
        </is>
      </c>
      <c r="E151" s="4" t="n">
        <v>46136</v>
      </c>
      <c r="F151" s="3" t="inlineStr">
        <is>
          <t>Dr.Somesh Baranwal</t>
        </is>
      </c>
      <c r="G151" s="3" t="inlineStr">
        <is>
          <t>Cup</t>
        </is>
      </c>
      <c r="H151" s="3" t="inlineStr">
        <is>
          <t>Cup</t>
        </is>
      </c>
      <c r="I151" s="3" t="inlineStr">
        <is>
          <t>somesh.baranwal@cup.edu.in /chinyotishivam@gmail.com</t>
        </is>
      </c>
      <c r="J151" s="3" t="inlineStr">
        <is>
          <t>8126545703</t>
        </is>
      </c>
      <c r="K151" s="3" t="inlineStr">
        <is>
          <t>Whole Genome Sequencing &amp; Analysis On Illumina Novaseq X Plus Platform</t>
        </is>
      </c>
      <c r="L151" s="3" t="inlineStr">
        <is>
          <t>DNA</t>
        </is>
      </c>
      <c r="M151" s="3" t="inlineStr">
        <is>
          <t>Wgs Seq</t>
        </is>
      </c>
      <c r="N151" s="3" t="inlineStr">
        <is>
          <t>With Analysis</t>
        </is>
      </c>
      <c r="O151" s="3" t="n">
        <v>8</v>
      </c>
      <c r="P151" s="3" t="inlineStr">
        <is>
          <t>1 GB/sample</t>
        </is>
      </c>
      <c r="Q151" s="3" t="n">
        <v>1</v>
      </c>
      <c r="R151" s="3" t="n">
        <v>8</v>
      </c>
      <c r="S151" s="3" t="n">
        <v>10380</v>
      </c>
      <c r="T151" s="5" t="n">
        <v>83040</v>
      </c>
      <c r="U151" s="5" t="n">
        <v>14947.2</v>
      </c>
      <c r="V151" s="5" t="n">
        <v>97987.2</v>
      </c>
      <c r="W151" s="3" t="inlineStr">
        <is>
          <t>UG/NGS/TP/2507938R1</t>
        </is>
      </c>
      <c r="X151" s="3" t="inlineStr">
        <is>
          <t>Direct</t>
        </is>
      </c>
      <c r="Y151" s="3" t="inlineStr">
        <is>
          <t>North</t>
        </is>
      </c>
      <c r="Z151" s="3" t="inlineStr">
        <is>
          <t>Punjab</t>
        </is>
      </c>
      <c r="AA151" s="3" t="n">
        <v>0</v>
      </c>
      <c r="AB151" s="3" t="n">
        <v>8</v>
      </c>
      <c r="AC151" s="4" t="n">
        <v>46143</v>
      </c>
      <c r="AD151" s="3" t="n">
        <v>7</v>
      </c>
      <c r="AE151" s="3" t="inlineStr"/>
      <c r="AF151" s="3" t="inlineStr"/>
      <c r="AG151" s="3" t="inlineStr"/>
      <c r="AH151" s="3" t="inlineStr"/>
      <c r="AI151" s="3" t="inlineStr"/>
      <c r="AJ151" s="3" t="inlineStr">
        <is>
          <t>QC Fail</t>
        </is>
      </c>
      <c r="AK151" s="5" t="n">
        <v>0</v>
      </c>
      <c r="AL151" s="5" t="n">
        <v>0</v>
      </c>
      <c r="AM151" s="5" t="n">
        <v>0</v>
      </c>
      <c r="AN151" s="3" t="inlineStr"/>
      <c r="AO151" s="5" t="n">
        <v>0</v>
      </c>
      <c r="AP151" s="5" t="n">
        <v>0</v>
      </c>
      <c r="AQ151" s="3" t="inlineStr"/>
    </row>
    <row r="152">
      <c r="A152" s="3" t="inlineStr">
        <is>
          <t>150</t>
        </is>
      </c>
      <c r="B152" s="3" t="inlineStr">
        <is>
          <t>NGS 260152</t>
        </is>
      </c>
      <c r="C152" s="4" t="n">
        <v>46136</v>
      </c>
      <c r="D152" s="3" t="inlineStr">
        <is>
          <t>April- 2026</t>
        </is>
      </c>
      <c r="E152" s="4" t="n">
        <v>46136</v>
      </c>
      <c r="F152" s="3" t="inlineStr">
        <is>
          <t>Mr.Digil</t>
        </is>
      </c>
      <c r="G152" s="3" t="inlineStr">
        <is>
          <t>Geno Connect Services Private Limited</t>
        </is>
      </c>
      <c r="H152" s="3" t="inlineStr">
        <is>
          <t>Geno Connect Services Private Limited</t>
        </is>
      </c>
      <c r="I152" s="3" t="inlineStr">
        <is>
          <t>Genoconnect.pvt.ltd@gmail.com</t>
        </is>
      </c>
      <c r="J152" s="3" t="inlineStr">
        <is>
          <t>9400039514</t>
        </is>
      </c>
      <c r="K152" s="3" t="inlineStr">
        <is>
          <t>Low Pass Whole Genome Sequencing On Illumina Novaseq X Plus Platform</t>
        </is>
      </c>
      <c r="L152" s="3" t="inlineStr">
        <is>
          <t>Swab Samples</t>
        </is>
      </c>
      <c r="M152" s="3" t="inlineStr">
        <is>
          <t>Low Pass Wgs</t>
        </is>
      </c>
      <c r="N152" s="3" t="inlineStr">
        <is>
          <t xml:space="preserve">Without Analysis </t>
        </is>
      </c>
      <c r="O152" s="3" t="n">
        <v>1</v>
      </c>
      <c r="P152" s="3" t="inlineStr">
        <is>
          <t>3 GB/Sample</t>
        </is>
      </c>
      <c r="Q152" s="3" t="n">
        <v>3</v>
      </c>
      <c r="R152" s="3" t="n">
        <v>3</v>
      </c>
      <c r="S152" s="3" t="n">
        <v>3000</v>
      </c>
      <c r="T152" s="5" t="n">
        <v>3000</v>
      </c>
      <c r="U152" s="5" t="n">
        <v>540</v>
      </c>
      <c r="V152" s="5" t="n">
        <v>3540</v>
      </c>
      <c r="W152" s="3" t="inlineStr">
        <is>
          <t>UG/NGS/TP/2512388R1</t>
        </is>
      </c>
      <c r="X152" s="3" t="inlineStr">
        <is>
          <t>Direct</t>
        </is>
      </c>
      <c r="Y152" s="3" t="inlineStr">
        <is>
          <t>South</t>
        </is>
      </c>
      <c r="Z152" s="3" t="inlineStr">
        <is>
          <t>Kozhikode</t>
        </is>
      </c>
      <c r="AA152" s="3" t="n">
        <v>1</v>
      </c>
      <c r="AB152" s="3" t="n">
        <v>0</v>
      </c>
      <c r="AC152" s="4" t="n">
        <v>46137</v>
      </c>
      <c r="AD152" s="3" t="n">
        <v>1</v>
      </c>
      <c r="AE152" s="3" t="inlineStr">
        <is>
          <t>124</t>
        </is>
      </c>
      <c r="AF152" s="4" t="n">
        <v>46163</v>
      </c>
      <c r="AG152" s="3" t="inlineStr"/>
      <c r="AH152" s="3" t="inlineStr">
        <is>
          <t>UPL/GEN/2627/42</t>
        </is>
      </c>
      <c r="AI152" s="4" t="n">
        <v>46171</v>
      </c>
      <c r="AJ152" s="3" t="inlineStr">
        <is>
          <t xml:space="preserve"> Project Closure</t>
        </is>
      </c>
      <c r="AK152" s="5" t="n">
        <v>3000</v>
      </c>
      <c r="AL152" s="5" t="n">
        <v>540</v>
      </c>
      <c r="AM152" s="5" t="n">
        <v>3540</v>
      </c>
      <c r="AN152" s="3" t="n">
        <v>48</v>
      </c>
      <c r="AO152" s="5" t="n">
        <v>3540</v>
      </c>
      <c r="AP152" s="5" t="n">
        <v>0</v>
      </c>
      <c r="AQ152" s="4" t="n">
        <v>46162</v>
      </c>
    </row>
    <row r="153">
      <c r="A153" s="3" t="inlineStr">
        <is>
          <t>151</t>
        </is>
      </c>
      <c r="B153" s="3" t="inlineStr">
        <is>
          <t>Re-NGS 260153</t>
        </is>
      </c>
      <c r="C153" s="4" t="n">
        <v>46136</v>
      </c>
      <c r="D153" s="3" t="inlineStr">
        <is>
          <t>April- 2026</t>
        </is>
      </c>
      <c r="E153" s="4" t="n">
        <v>46139</v>
      </c>
      <c r="F153" s="3" t="inlineStr">
        <is>
          <t>Sudharson Narayanan</t>
        </is>
      </c>
      <c r="G153" s="3" t="inlineStr">
        <is>
          <t>Symbiont Life Sciences</t>
        </is>
      </c>
      <c r="H153" s="3" t="inlineStr">
        <is>
          <t>Symbiont Life Sciences</t>
        </is>
      </c>
      <c r="I153" s="3" t="inlineStr">
        <is>
          <t>symbiontcs@gmail.com</t>
        </is>
      </c>
      <c r="J153" s="3" t="inlineStr">
        <is>
          <t>8838222756</t>
        </is>
      </c>
      <c r="K153" s="3" t="inlineStr">
        <is>
          <t>Transcriptome Sequencing &amp; Analysis On Illumina Novaseq X Plus Platform</t>
        </is>
      </c>
      <c r="L153" s="3" t="inlineStr">
        <is>
          <t>Cell Lines In Trizol</t>
        </is>
      </c>
      <c r="M153" s="3" t="inlineStr">
        <is>
          <t>RNA Seq</t>
        </is>
      </c>
      <c r="N153" s="3" t="inlineStr">
        <is>
          <t>With Analysis</t>
        </is>
      </c>
      <c r="O153" s="3" t="n">
        <v>6</v>
      </c>
      <c r="P153" s="3" t="inlineStr">
        <is>
          <t>8-9 GB /sample</t>
        </is>
      </c>
      <c r="Q153" s="3" t="n">
        <v>9</v>
      </c>
      <c r="R153" s="3" t="n">
        <v>54</v>
      </c>
      <c r="S153" s="3" t="n">
        <v>13000</v>
      </c>
      <c r="T153" s="5" t="n">
        <v>78000</v>
      </c>
      <c r="U153" s="5" t="n">
        <v>14040</v>
      </c>
      <c r="V153" s="5" t="n">
        <v>92040</v>
      </c>
      <c r="W153" s="3" t="inlineStr">
        <is>
          <t>UG/NGS/TP/2409987R2</t>
        </is>
      </c>
      <c r="X153" s="3" t="inlineStr">
        <is>
          <t>Pugalendhi</t>
        </is>
      </c>
      <c r="Y153" s="3" t="inlineStr">
        <is>
          <t>South</t>
        </is>
      </c>
      <c r="Z153" s="3" t="inlineStr">
        <is>
          <t>Chennai</t>
        </is>
      </c>
      <c r="AA153" s="3" t="n">
        <v>6</v>
      </c>
      <c r="AB153" s="3" t="n">
        <v>0</v>
      </c>
      <c r="AC153" s="4" t="n">
        <v>46162</v>
      </c>
      <c r="AD153" s="3" t="n">
        <v>23</v>
      </c>
      <c r="AE153" s="3" t="inlineStr">
        <is>
          <t>133</t>
        </is>
      </c>
      <c r="AF153" s="3" t="inlineStr"/>
      <c r="AG153" s="3" t="inlineStr"/>
      <c r="AH153" s="3" t="inlineStr"/>
      <c r="AI153" s="3" t="inlineStr"/>
      <c r="AJ153" s="3" t="inlineStr"/>
      <c r="AK153" s="5" t="n">
        <v>78000</v>
      </c>
      <c r="AL153" s="5" t="n">
        <v>14040</v>
      </c>
      <c r="AM153" s="5" t="n">
        <v>92040</v>
      </c>
      <c r="AN153" s="3" t="inlineStr"/>
      <c r="AO153" s="5" t="n">
        <v>0</v>
      </c>
      <c r="AP153" s="5" t="n">
        <v>-92040</v>
      </c>
      <c r="AQ153" s="3" t="inlineStr"/>
    </row>
    <row r="154">
      <c r="A154" s="3" t="inlineStr">
        <is>
          <t>152</t>
        </is>
      </c>
      <c r="B154" s="3" t="inlineStr">
        <is>
          <t>Re-NGS 260154</t>
        </is>
      </c>
      <c r="C154" s="4" t="n">
        <v>46136</v>
      </c>
      <c r="D154" s="3" t="inlineStr">
        <is>
          <t>April- 2026</t>
        </is>
      </c>
      <c r="E154" s="4" t="n">
        <v>46139</v>
      </c>
      <c r="F154" s="3" t="inlineStr">
        <is>
          <t>Sudharson Narayanan</t>
        </is>
      </c>
      <c r="G154" s="3" t="inlineStr">
        <is>
          <t>Symbiont Life Sciences</t>
        </is>
      </c>
      <c r="H154" s="3" t="inlineStr">
        <is>
          <t>Symbiont Life Sciences</t>
        </is>
      </c>
      <c r="I154" s="3" t="inlineStr">
        <is>
          <t>symbiontcs@gmail.com</t>
        </is>
      </c>
      <c r="J154" s="3" t="inlineStr">
        <is>
          <t>8838222756</t>
        </is>
      </c>
      <c r="K154" s="3" t="inlineStr">
        <is>
          <t>Transcriptome Sequencing &amp; Analysis On Illumina Novaseq X Plus Platform</t>
        </is>
      </c>
      <c r="L154" s="3" t="inlineStr">
        <is>
          <t>Cell Lines In Trizol</t>
        </is>
      </c>
      <c r="M154" s="3" t="inlineStr">
        <is>
          <t>RNA Seq</t>
        </is>
      </c>
      <c r="N154" s="3" t="inlineStr">
        <is>
          <t>With Analysis</t>
        </is>
      </c>
      <c r="O154" s="3" t="n">
        <v>4</v>
      </c>
      <c r="P154" s="3" t="inlineStr">
        <is>
          <t>8-9 GB /sample</t>
        </is>
      </c>
      <c r="Q154" s="3" t="n">
        <v>9</v>
      </c>
      <c r="R154" s="3" t="n">
        <v>36</v>
      </c>
      <c r="S154" s="3" t="n">
        <v>13000</v>
      </c>
      <c r="T154" s="5" t="n">
        <v>52000</v>
      </c>
      <c r="U154" s="5" t="n">
        <v>9360</v>
      </c>
      <c r="V154" s="5" t="n">
        <v>61360</v>
      </c>
      <c r="W154" s="3" t="inlineStr">
        <is>
          <t>UG/NGS/TP/2409987R2</t>
        </is>
      </c>
      <c r="X154" s="3" t="inlineStr">
        <is>
          <t>Pugalendhi</t>
        </is>
      </c>
      <c r="Y154" s="3" t="inlineStr">
        <is>
          <t>South</t>
        </is>
      </c>
      <c r="Z154" s="3" t="inlineStr">
        <is>
          <t>Chennai</t>
        </is>
      </c>
      <c r="AA154" s="3" t="n">
        <v>4</v>
      </c>
      <c r="AB154" s="3" t="n">
        <v>0</v>
      </c>
      <c r="AC154" s="4" t="n">
        <v>46162</v>
      </c>
      <c r="AD154" s="3" t="n">
        <v>23</v>
      </c>
      <c r="AE154" s="3" t="inlineStr">
        <is>
          <t>132</t>
        </is>
      </c>
      <c r="AF154" s="3" t="inlineStr"/>
      <c r="AG154" s="3" t="inlineStr"/>
      <c r="AH154" s="3" t="inlineStr"/>
      <c r="AI154" s="3" t="inlineStr"/>
      <c r="AJ154" s="3" t="inlineStr"/>
      <c r="AK154" s="5" t="n">
        <v>52000</v>
      </c>
      <c r="AL154" s="5" t="n">
        <v>9360</v>
      </c>
      <c r="AM154" s="5" t="n">
        <v>61360</v>
      </c>
      <c r="AN154" s="3" t="inlineStr"/>
      <c r="AO154" s="5" t="n">
        <v>0</v>
      </c>
      <c r="AP154" s="5" t="n">
        <v>-61360</v>
      </c>
      <c r="AQ154" s="3" t="inlineStr"/>
    </row>
    <row r="155">
      <c r="A155" s="3" t="inlineStr">
        <is>
          <t>153</t>
        </is>
      </c>
      <c r="B155" s="3" t="inlineStr">
        <is>
          <t>NGS 260155</t>
        </is>
      </c>
      <c r="C155" s="4" t="n">
        <v>46136</v>
      </c>
      <c r="D155" s="3" t="inlineStr">
        <is>
          <t>April- 2026</t>
        </is>
      </c>
      <c r="E155" s="4" t="n">
        <v>46139</v>
      </c>
      <c r="F155" s="3" t="inlineStr">
        <is>
          <t>Sudharson Narayanan</t>
        </is>
      </c>
      <c r="G155" s="3" t="inlineStr">
        <is>
          <t>Symbiont Life Sciences</t>
        </is>
      </c>
      <c r="H155" s="3" t="inlineStr">
        <is>
          <t>Symbiont Life Sciences</t>
        </is>
      </c>
      <c r="I155" s="3" t="inlineStr">
        <is>
          <t>symbiontcs@gmail.com</t>
        </is>
      </c>
      <c r="J155" s="3" t="inlineStr">
        <is>
          <t>8838222756</t>
        </is>
      </c>
      <c r="K155" s="3" t="inlineStr">
        <is>
          <t>Whole Genome Sequencing &amp; Analysis On Illumina Platforms</t>
        </is>
      </c>
      <c r="L155" s="3" t="inlineStr">
        <is>
          <t>Pelleted Cell</t>
        </is>
      </c>
      <c r="M155" s="3" t="inlineStr">
        <is>
          <t>Wgs Seq</t>
        </is>
      </c>
      <c r="N155" s="3" t="inlineStr">
        <is>
          <t>With Analysis</t>
        </is>
      </c>
      <c r="O155" s="3" t="n">
        <v>1</v>
      </c>
      <c r="P155" s="3" t="inlineStr">
        <is>
          <t>3 GB/Sample</t>
        </is>
      </c>
      <c r="Q155" s="3" t="n">
        <v>15</v>
      </c>
      <c r="R155" s="3" t="n">
        <v>15</v>
      </c>
      <c r="S155" s="3" t="n">
        <v>9000</v>
      </c>
      <c r="T155" s="5" t="n">
        <v>9000</v>
      </c>
      <c r="U155" s="5" t="n">
        <v>1620</v>
      </c>
      <c r="V155" s="5" t="n">
        <v>10620</v>
      </c>
      <c r="W155" s="3" t="inlineStr">
        <is>
          <t>UG/NGS/TP/2501392R1</t>
        </is>
      </c>
      <c r="X155" s="3" t="inlineStr">
        <is>
          <t>Pugalendhi</t>
        </is>
      </c>
      <c r="Y155" s="3" t="inlineStr">
        <is>
          <t>South</t>
        </is>
      </c>
      <c r="Z155" s="3" t="inlineStr">
        <is>
          <t>Chennai</t>
        </is>
      </c>
      <c r="AA155" s="3" t="n">
        <v>1</v>
      </c>
      <c r="AB155" s="3" t="n">
        <v>0</v>
      </c>
      <c r="AC155" s="4" t="n">
        <v>46165</v>
      </c>
      <c r="AD155" s="3" t="n">
        <v>26</v>
      </c>
      <c r="AE155" s="3" t="inlineStr">
        <is>
          <t>129</t>
        </is>
      </c>
      <c r="AF155" s="3" t="inlineStr"/>
      <c r="AG155" s="4" t="n">
        <v>46183</v>
      </c>
      <c r="AH155" s="3" t="inlineStr"/>
      <c r="AI155" s="3" t="inlineStr"/>
      <c r="AJ155" s="3" t="inlineStr">
        <is>
          <t xml:space="preserve"> Project Closure</t>
        </is>
      </c>
      <c r="AK155" s="5" t="n">
        <v>9000</v>
      </c>
      <c r="AL155" s="5" t="n">
        <v>1620</v>
      </c>
      <c r="AM155" s="5" t="n">
        <v>10620</v>
      </c>
      <c r="AN155" s="3" t="inlineStr"/>
      <c r="AO155" s="5" t="n">
        <v>0</v>
      </c>
      <c r="AP155" s="5" t="n">
        <v>-10620</v>
      </c>
      <c r="AQ155" s="3" t="inlineStr"/>
    </row>
    <row r="156">
      <c r="A156" s="3" t="inlineStr">
        <is>
          <t>154</t>
        </is>
      </c>
      <c r="B156" s="3" t="inlineStr">
        <is>
          <t>NGS 260156</t>
        </is>
      </c>
      <c r="C156" s="4" t="n">
        <v>46137</v>
      </c>
      <c r="D156" s="3" t="inlineStr">
        <is>
          <t>April- 2026</t>
        </is>
      </c>
      <c r="E156" s="4" t="n">
        <v>46139</v>
      </c>
      <c r="F156" s="3" t="inlineStr">
        <is>
          <t>Ms. Ankita Kumari</t>
        </is>
      </c>
      <c r="G156" s="3" t="inlineStr">
        <is>
          <t>Xploregen Discoveries Pvt. Ltd</t>
        </is>
      </c>
      <c r="H156" s="3" t="inlineStr">
        <is>
          <t>Xploregen Discoveries Pvt. Ltd</t>
        </is>
      </c>
      <c r="I156" s="3" t="inlineStr">
        <is>
          <t>ankita@xploregen.com</t>
        </is>
      </c>
      <c r="J156" s="3" t="inlineStr">
        <is>
          <t>8296641474</t>
        </is>
      </c>
      <c r="K156" s="3" t="inlineStr">
        <is>
          <t>Ready To Run Library Service</t>
        </is>
      </c>
      <c r="L156" s="3" t="inlineStr">
        <is>
          <t>Library</t>
        </is>
      </c>
      <c r="M156" s="3" t="inlineStr">
        <is>
          <t>R2R</t>
        </is>
      </c>
      <c r="N156" s="3" t="inlineStr">
        <is>
          <t xml:space="preserve">Without Analysis </t>
        </is>
      </c>
      <c r="O156" s="3" t="n">
        <v>2</v>
      </c>
      <c r="P156" s="3" t="inlineStr">
        <is>
          <t>117</t>
        </is>
      </c>
      <c r="Q156" s="3" t="inlineStr"/>
      <c r="R156" s="3" t="n">
        <v>117</v>
      </c>
      <c r="S156" s="3" t="n">
        <v>450</v>
      </c>
      <c r="T156" s="5" t="n">
        <v>52650</v>
      </c>
      <c r="U156" s="5" t="n">
        <v>9477</v>
      </c>
      <c r="V156" s="5" t="n">
        <v>62127</v>
      </c>
      <c r="W156" s="3" t="inlineStr">
        <is>
          <t>UG/NGS/TP/2603606</t>
        </is>
      </c>
      <c r="X156" s="3" t="inlineStr">
        <is>
          <t>Direct</t>
        </is>
      </c>
      <c r="Y156" s="3" t="inlineStr">
        <is>
          <t>South</t>
        </is>
      </c>
      <c r="Z156" s="3" t="inlineStr">
        <is>
          <t>Bangalore</t>
        </is>
      </c>
      <c r="AA156" s="3" t="n">
        <v>2</v>
      </c>
      <c r="AB156" s="3" t="n">
        <v>0</v>
      </c>
      <c r="AC156" s="4" t="n">
        <v>46140</v>
      </c>
      <c r="AD156" s="3" t="n">
        <v>1</v>
      </c>
      <c r="AE156" s="3" t="inlineStr">
        <is>
          <t>120 &amp; 122 &amp; 129</t>
        </is>
      </c>
      <c r="AF156" s="3" t="inlineStr"/>
      <c r="AG156" s="3" t="inlineStr"/>
      <c r="AH156" s="3" t="inlineStr"/>
      <c r="AI156" s="3" t="inlineStr"/>
      <c r="AJ156" s="3" t="inlineStr">
        <is>
          <t xml:space="preserve"> Project Closure</t>
        </is>
      </c>
      <c r="AK156" s="5" t="n">
        <v>900</v>
      </c>
      <c r="AL156" s="5" t="n">
        <v>162</v>
      </c>
      <c r="AM156" s="5" t="n">
        <v>1062</v>
      </c>
      <c r="AN156" s="3" t="n">
        <v>46219</v>
      </c>
      <c r="AO156" s="5" t="n">
        <v>0</v>
      </c>
      <c r="AP156" s="5" t="n">
        <v>-1062</v>
      </c>
      <c r="AQ156" s="3" t="inlineStr"/>
    </row>
    <row r="157">
      <c r="A157" s="3" t="inlineStr">
        <is>
          <t>155</t>
        </is>
      </c>
      <c r="B157" s="3" t="inlineStr">
        <is>
          <t>NGS 260157</t>
        </is>
      </c>
      <c r="C157" s="4" t="n">
        <v>46137</v>
      </c>
      <c r="D157" s="3" t="inlineStr">
        <is>
          <t>April- 2026</t>
        </is>
      </c>
      <c r="E157" s="4" t="n">
        <v>46139</v>
      </c>
      <c r="F157" s="3" t="inlineStr">
        <is>
          <t>Dr. Aparna Sharma</t>
        </is>
      </c>
      <c r="G157" s="3" t="inlineStr">
        <is>
          <t>Aiims - Delhi</t>
        </is>
      </c>
      <c r="H157" s="3" t="inlineStr">
        <is>
          <t>Aiims - Delhi</t>
        </is>
      </c>
      <c r="I157" s="3" t="inlineStr">
        <is>
          <t>monikachettri.aiims@gmail.com</t>
        </is>
      </c>
      <c r="J157" s="3" t="inlineStr">
        <is>
          <t>7085151778/ 84488 15621</t>
        </is>
      </c>
      <c r="K157" s="3" t="inlineStr">
        <is>
          <t>Whole Exome Sequencing On Illumina Novaseq X Plus Platform</t>
        </is>
      </c>
      <c r="L157" s="3" t="inlineStr">
        <is>
          <t>DNA</t>
        </is>
      </c>
      <c r="M157" s="3" t="inlineStr">
        <is>
          <t>Wes Seq</t>
        </is>
      </c>
      <c r="N157" s="3" t="inlineStr">
        <is>
          <t xml:space="preserve">Without Analysis </t>
        </is>
      </c>
      <c r="O157" s="3" t="n">
        <v>24</v>
      </c>
      <c r="P157" s="3" t="inlineStr">
        <is>
          <t>8-10 GB/Sample</t>
        </is>
      </c>
      <c r="Q157" s="3" t="n">
        <v>10</v>
      </c>
      <c r="R157" s="3" t="n">
        <v>240</v>
      </c>
      <c r="S157" s="3" t="n">
        <v>9000</v>
      </c>
      <c r="T157" s="5" t="n">
        <v>216000</v>
      </c>
      <c r="U157" s="5" t="n">
        <v>0</v>
      </c>
      <c r="V157" s="5" t="n">
        <v>216000</v>
      </c>
      <c r="W157" s="3" t="inlineStr">
        <is>
          <t>UG/NGS/TP/2603593</t>
        </is>
      </c>
      <c r="X157" s="3" t="inlineStr">
        <is>
          <t xml:space="preserve">Harsh </t>
        </is>
      </c>
      <c r="Y157" s="3" t="inlineStr">
        <is>
          <t>North</t>
        </is>
      </c>
      <c r="Z157" s="3" t="inlineStr">
        <is>
          <t>New Delhi</t>
        </is>
      </c>
      <c r="AA157" s="3" t="n">
        <v>22</v>
      </c>
      <c r="AB157" s="3" t="n">
        <v>2</v>
      </c>
      <c r="AC157" s="4" t="n">
        <v>46143</v>
      </c>
      <c r="AD157" s="3" t="n">
        <v>4</v>
      </c>
      <c r="AE157" s="3" t="inlineStr">
        <is>
          <t>126</t>
        </is>
      </c>
      <c r="AF157" s="4" t="n">
        <v>46165</v>
      </c>
      <c r="AG157" s="3" t="inlineStr"/>
      <c r="AH157" s="3" t="inlineStr"/>
      <c r="AI157" s="3" t="inlineStr"/>
      <c r="AJ157" s="3" t="inlineStr">
        <is>
          <t xml:space="preserve"> Project Closure</t>
        </is>
      </c>
      <c r="AK157" s="5" t="n">
        <v>198000</v>
      </c>
      <c r="AL157" s="5" t="n">
        <v>35640</v>
      </c>
      <c r="AM157" s="5" t="n">
        <v>233640</v>
      </c>
      <c r="AN157" s="3" t="n">
        <v>46219</v>
      </c>
      <c r="AO157" s="5" t="n">
        <v>0</v>
      </c>
      <c r="AP157" s="5" t="n">
        <v>-233640</v>
      </c>
      <c r="AQ157" s="3" t="inlineStr"/>
    </row>
    <row r="158">
      <c r="A158" s="3" t="inlineStr">
        <is>
          <t>156</t>
        </is>
      </c>
      <c r="B158" s="3" t="inlineStr">
        <is>
          <t>NGS 260158</t>
        </is>
      </c>
      <c r="C158" s="4" t="n">
        <v>46137</v>
      </c>
      <c r="D158" s="3" t="inlineStr">
        <is>
          <t>April- 2026</t>
        </is>
      </c>
      <c r="E158" s="4" t="n">
        <v>46139</v>
      </c>
      <c r="F158" s="3" t="inlineStr">
        <is>
          <t>Dr. Aparna Sharma</t>
        </is>
      </c>
      <c r="G158" s="3" t="inlineStr">
        <is>
          <t>Aiims - Delhi</t>
        </is>
      </c>
      <c r="H158" s="3" t="inlineStr">
        <is>
          <t>Aiims - Delhi</t>
        </is>
      </c>
      <c r="I158" s="3" t="inlineStr">
        <is>
          <t>monikachettri.aiims@gmail.com</t>
        </is>
      </c>
      <c r="J158" s="3" t="inlineStr">
        <is>
          <t>7085151778/ 84488 15621</t>
        </is>
      </c>
      <c r="K158" s="3" t="inlineStr">
        <is>
          <t>Whole Exome Sequencing On Illumina Novaseq X Plus Platform</t>
        </is>
      </c>
      <c r="L158" s="3" t="inlineStr">
        <is>
          <t>DNA</t>
        </is>
      </c>
      <c r="M158" s="3" t="inlineStr">
        <is>
          <t>Wes Seq</t>
        </is>
      </c>
      <c r="N158" s="3" t="inlineStr">
        <is>
          <t xml:space="preserve">Without Analysis </t>
        </is>
      </c>
      <c r="O158" s="3" t="n">
        <v>3</v>
      </c>
      <c r="P158" s="3" t="inlineStr">
        <is>
          <t>25 GB/Sample (500X)</t>
        </is>
      </c>
      <c r="Q158" s="3" t="n">
        <v>25</v>
      </c>
      <c r="R158" s="3" t="n">
        <v>75</v>
      </c>
      <c r="S158" s="3" t="n">
        <v>19000</v>
      </c>
      <c r="T158" s="5" t="n">
        <v>57000</v>
      </c>
      <c r="U158" s="5" t="n">
        <v>0</v>
      </c>
      <c r="V158" s="5" t="n">
        <v>57000</v>
      </c>
      <c r="W158" s="3" t="inlineStr">
        <is>
          <t>UG/NGS/TP/2603592</t>
        </is>
      </c>
      <c r="X158" s="3" t="inlineStr">
        <is>
          <t xml:space="preserve">Harsh </t>
        </is>
      </c>
      <c r="Y158" s="3" t="inlineStr">
        <is>
          <t>North</t>
        </is>
      </c>
      <c r="Z158" s="3" t="inlineStr">
        <is>
          <t>New Delhi</t>
        </is>
      </c>
      <c r="AA158" s="3" t="n">
        <v>2</v>
      </c>
      <c r="AB158" s="3" t="n">
        <v>1</v>
      </c>
      <c r="AC158" s="4" t="n">
        <v>46143</v>
      </c>
      <c r="AD158" s="3" t="n">
        <v>4</v>
      </c>
      <c r="AE158" s="3" t="inlineStr">
        <is>
          <t>126</t>
        </is>
      </c>
      <c r="AF158" s="4" t="n">
        <v>46165</v>
      </c>
      <c r="AG158" s="3" t="inlineStr"/>
      <c r="AH158" s="3" t="inlineStr"/>
      <c r="AI158" s="3" t="inlineStr"/>
      <c r="AJ158" s="3" t="inlineStr">
        <is>
          <t xml:space="preserve"> Project Closure</t>
        </is>
      </c>
      <c r="AK158" s="5" t="n">
        <v>38000</v>
      </c>
      <c r="AL158" s="5" t="n">
        <v>6840</v>
      </c>
      <c r="AM158" s="5" t="n">
        <v>44840</v>
      </c>
      <c r="AN158" s="3" t="n">
        <v>46219</v>
      </c>
      <c r="AO158" s="5" t="n">
        <v>0</v>
      </c>
      <c r="AP158" s="5" t="n">
        <v>-44840</v>
      </c>
      <c r="AQ158" s="3" t="inlineStr"/>
    </row>
    <row r="159">
      <c r="A159" s="3" t="inlineStr">
        <is>
          <t>157</t>
        </is>
      </c>
      <c r="B159" s="3" t="inlineStr">
        <is>
          <t>NGS 260159</t>
        </is>
      </c>
      <c r="C159" s="4" t="n">
        <v>46137</v>
      </c>
      <c r="D159" s="3" t="inlineStr">
        <is>
          <t>April- 2026</t>
        </is>
      </c>
      <c r="E159" s="4" t="n">
        <v>46143</v>
      </c>
      <c r="F159" s="3" t="inlineStr">
        <is>
          <t>Dr. V Balaji</t>
        </is>
      </c>
      <c r="G159" s="3" t="inlineStr">
        <is>
          <t>Cmc Vellore</t>
        </is>
      </c>
      <c r="H159" s="3" t="inlineStr">
        <is>
          <t>Cmc Vellore</t>
        </is>
      </c>
      <c r="I159" s="3" t="inlineStr">
        <is>
          <t>jjj1986@gmail.com, ayyanmicro@gmail.com</t>
        </is>
      </c>
      <c r="J159" s="3" t="inlineStr">
        <is>
          <t>99943 93453</t>
        </is>
      </c>
      <c r="K159" s="3" t="inlineStr">
        <is>
          <t>Whole Genome Sequencing On Illumina Novaseq 6000 Platforms</t>
        </is>
      </c>
      <c r="L159" s="3" t="inlineStr">
        <is>
          <t>DNA</t>
        </is>
      </c>
      <c r="M159" s="3" t="inlineStr">
        <is>
          <t>Wgs Seq</t>
        </is>
      </c>
      <c r="N159" s="3" t="inlineStr">
        <is>
          <t>Without Analysis</t>
        </is>
      </c>
      <c r="O159" s="3" t="n">
        <v>232</v>
      </c>
      <c r="P159" s="3" t="inlineStr">
        <is>
          <t>0.5 GB -1 GB/sample</t>
        </is>
      </c>
      <c r="Q159" s="3" t="n">
        <v>1</v>
      </c>
      <c r="R159" s="3" t="n">
        <v>232</v>
      </c>
      <c r="S159" s="3" t="n">
        <v>2300</v>
      </c>
      <c r="T159" s="5" t="n">
        <v>533600</v>
      </c>
      <c r="U159" s="5" t="n">
        <v>96048</v>
      </c>
      <c r="V159" s="5" t="n">
        <v>629648</v>
      </c>
      <c r="W159" s="3" t="inlineStr">
        <is>
          <t>UG/NGS/TP/2503554</t>
        </is>
      </c>
      <c r="X159" s="3" t="inlineStr">
        <is>
          <t>Pugalendhi</t>
        </is>
      </c>
      <c r="Y159" s="3" t="inlineStr">
        <is>
          <t>South</t>
        </is>
      </c>
      <c r="Z159" s="3" t="inlineStr">
        <is>
          <t>Vellore</t>
        </is>
      </c>
      <c r="AA159" s="3" t="n">
        <v>232</v>
      </c>
      <c r="AB159" s="3" t="n">
        <v>0</v>
      </c>
      <c r="AC159" s="4" t="n">
        <v>46144</v>
      </c>
      <c r="AD159" s="3" t="n">
        <v>1</v>
      </c>
      <c r="AE159" s="3" t="inlineStr">
        <is>
          <t>127</t>
        </is>
      </c>
      <c r="AF159" s="4" t="n">
        <v>46168</v>
      </c>
      <c r="AG159" s="3" t="inlineStr"/>
      <c r="AH159" s="3" t="inlineStr">
        <is>
          <t>UPL/GEN/2627/33</t>
        </is>
      </c>
      <c r="AI159" s="4" t="n">
        <v>46168</v>
      </c>
      <c r="AJ159" s="3" t="inlineStr">
        <is>
          <t xml:space="preserve"> Project Closure</t>
        </is>
      </c>
      <c r="AK159" s="5" t="n">
        <v>533600</v>
      </c>
      <c r="AL159" s="5" t="n">
        <v>96048</v>
      </c>
      <c r="AM159" s="5" t="n">
        <v>629648</v>
      </c>
      <c r="AN159" s="3" t="n">
        <v>51</v>
      </c>
      <c r="AO159" s="5" t="n">
        <v>0</v>
      </c>
      <c r="AP159" s="5" t="n">
        <v>-629648</v>
      </c>
      <c r="AQ159" s="3" t="inlineStr"/>
    </row>
    <row r="160">
      <c r="A160" s="3" t="inlineStr">
        <is>
          <t>158</t>
        </is>
      </c>
      <c r="B160" s="3" t="inlineStr">
        <is>
          <t>NGS 260160</t>
        </is>
      </c>
      <c r="C160" s="4" t="n">
        <v>46137</v>
      </c>
      <c r="D160" s="3" t="inlineStr">
        <is>
          <t>April- 2026</t>
        </is>
      </c>
      <c r="E160" s="4" t="n">
        <v>46137</v>
      </c>
      <c r="F160" s="3" t="inlineStr">
        <is>
          <t>N/A</t>
        </is>
      </c>
      <c r="G160" s="3" t="inlineStr">
        <is>
          <t>Genexplore Diagnostics</t>
        </is>
      </c>
      <c r="H160" s="3" t="inlineStr">
        <is>
          <t>Genexplore Diagnostics</t>
        </is>
      </c>
      <c r="I160" s="3" t="inlineStr">
        <is>
          <t>scheti@gmail.com</t>
        </is>
      </c>
      <c r="J160" s="3" t="inlineStr"/>
      <c r="K160" s="3" t="inlineStr">
        <is>
          <t>Ready To Run Library Service</t>
        </is>
      </c>
      <c r="L160" s="3" t="inlineStr">
        <is>
          <t>Library</t>
        </is>
      </c>
      <c r="M160" s="3" t="inlineStr">
        <is>
          <t>R2R</t>
        </is>
      </c>
      <c r="N160" s="3" t="inlineStr">
        <is>
          <t>Without Analysis</t>
        </is>
      </c>
      <c r="O160" s="3" t="n">
        <v>2</v>
      </c>
      <c r="P160" s="3" t="inlineStr">
        <is>
          <t>350 GB</t>
        </is>
      </c>
      <c r="Q160" s="3" t="inlineStr"/>
      <c r="R160" s="3" t="n">
        <v>350</v>
      </c>
      <c r="S160" s="3" t="n">
        <v>500</v>
      </c>
      <c r="T160" s="5" t="n">
        <v>175000</v>
      </c>
      <c r="U160" s="5" t="n">
        <v>31500</v>
      </c>
      <c r="V160" s="5" t="n">
        <v>206500</v>
      </c>
      <c r="W160" s="3" t="inlineStr">
        <is>
          <t>UG/NGS/TP/2604667</t>
        </is>
      </c>
      <c r="X160" s="3" t="inlineStr">
        <is>
          <t>Direct</t>
        </is>
      </c>
      <c r="Y160" s="3" t="inlineStr">
        <is>
          <t>West</t>
        </is>
      </c>
      <c r="Z160" s="3" t="inlineStr">
        <is>
          <t>Ahmedabad</t>
        </is>
      </c>
      <c r="AA160" s="3" t="n">
        <v>2</v>
      </c>
      <c r="AB160" s="3" t="n">
        <v>0</v>
      </c>
      <c r="AC160" s="3" t="inlineStr"/>
      <c r="AD160" s="3" t="inlineStr"/>
      <c r="AE160" s="3" t="inlineStr">
        <is>
          <t>121</t>
        </is>
      </c>
      <c r="AF160" s="4" t="n">
        <v>46207</v>
      </c>
      <c r="AG160" s="3" t="inlineStr"/>
      <c r="AH160" s="3" t="inlineStr">
        <is>
          <t>UPL/GEN/2627/66</t>
        </is>
      </c>
      <c r="AI160" s="4" t="n">
        <v>46213</v>
      </c>
      <c r="AJ160" s="3" t="inlineStr">
        <is>
          <t xml:space="preserve"> Project Closure</t>
        </is>
      </c>
      <c r="AK160" s="5" t="n">
        <v>176500</v>
      </c>
      <c r="AL160" s="5" t="n">
        <v>31770</v>
      </c>
      <c r="AM160" s="5" t="n">
        <v>208270</v>
      </c>
      <c r="AN160" s="3" t="inlineStr"/>
      <c r="AO160" s="5" t="n">
        <v>208270</v>
      </c>
      <c r="AP160" s="5" t="n">
        <v>0</v>
      </c>
      <c r="AQ160" s="4" t="n">
        <v>46206</v>
      </c>
    </row>
    <row r="161">
      <c r="A161" s="3" t="inlineStr">
        <is>
          <t>159</t>
        </is>
      </c>
      <c r="B161" s="3" t="inlineStr">
        <is>
          <t>NGS 260161</t>
        </is>
      </c>
      <c r="C161" s="4" t="n">
        <v>46143</v>
      </c>
      <c r="D161" s="3" t="inlineStr">
        <is>
          <t>May- 2026</t>
        </is>
      </c>
      <c r="E161" s="4" t="n">
        <v>46150</v>
      </c>
      <c r="F161" s="3" t="inlineStr">
        <is>
          <t>Sudharson Narayanan</t>
        </is>
      </c>
      <c r="G161" s="3" t="inlineStr">
        <is>
          <t>Symbiont Life Sciences</t>
        </is>
      </c>
      <c r="H161" s="3" t="inlineStr">
        <is>
          <t>Symbiont Life Sciences</t>
        </is>
      </c>
      <c r="I161" s="3" t="inlineStr">
        <is>
          <t>symbiontcs@gmail.com</t>
        </is>
      </c>
      <c r="J161" s="3" t="inlineStr">
        <is>
          <t>8838222756</t>
        </is>
      </c>
      <c r="K161" s="3" t="inlineStr">
        <is>
          <t>16S Rrna Metagenome V3-V4 Sequencing &amp; Analysis On Illumina Platforms</t>
        </is>
      </c>
      <c r="L161" s="3" t="inlineStr">
        <is>
          <t>Stool Sample</t>
        </is>
      </c>
      <c r="M161" s="3" t="inlineStr">
        <is>
          <t>16S Seq</t>
        </is>
      </c>
      <c r="N161" s="3" t="inlineStr">
        <is>
          <t>With Analysis</t>
        </is>
      </c>
      <c r="O161" s="3" t="n">
        <v>4</v>
      </c>
      <c r="P161" s="3" t="inlineStr">
        <is>
          <t>1,00,000 reads/sample</t>
        </is>
      </c>
      <c r="Q161" s="3" t="inlineStr"/>
      <c r="R161" s="3" t="n">
        <v>0</v>
      </c>
      <c r="S161" s="3" t="n">
        <v>6000</v>
      </c>
      <c r="T161" s="5" t="n">
        <v>24000</v>
      </c>
      <c r="U161" s="5" t="n">
        <v>4320</v>
      </c>
      <c r="V161" s="5" t="n">
        <v>28320</v>
      </c>
      <c r="W161" s="3" t="inlineStr">
        <is>
          <t>UG/NGS/TP/2303214R2</t>
        </is>
      </c>
      <c r="X161" s="3" t="inlineStr">
        <is>
          <t>Pugalendhi</t>
        </is>
      </c>
      <c r="Y161" s="3" t="inlineStr">
        <is>
          <t>South</t>
        </is>
      </c>
      <c r="Z161" s="3" t="inlineStr">
        <is>
          <t>Chennai</t>
        </is>
      </c>
      <c r="AA161" s="3" t="n">
        <v>3</v>
      </c>
      <c r="AB161" s="3" t="n">
        <v>1</v>
      </c>
      <c r="AC161" s="4" t="n">
        <v>46157</v>
      </c>
      <c r="AD161" s="3" t="n">
        <v>7</v>
      </c>
      <c r="AE161" s="3" t="inlineStr">
        <is>
          <t>16s Batch -35</t>
        </is>
      </c>
      <c r="AF161" s="3" t="inlineStr"/>
      <c r="AG161" s="4" t="n">
        <v>46199</v>
      </c>
      <c r="AH161" s="3" t="inlineStr"/>
      <c r="AI161" s="3" t="inlineStr"/>
      <c r="AJ161" s="3" t="inlineStr">
        <is>
          <t xml:space="preserve"> Project Closure</t>
        </is>
      </c>
      <c r="AK161" s="5" t="n">
        <v>18000</v>
      </c>
      <c r="AL161" s="5" t="n">
        <v>3240</v>
      </c>
      <c r="AM161" s="5" t="n">
        <v>21240</v>
      </c>
      <c r="AN161" s="3" t="inlineStr"/>
      <c r="AO161" s="5" t="n">
        <v>0</v>
      </c>
      <c r="AP161" s="5" t="n">
        <v>-21240</v>
      </c>
      <c r="AQ161" s="3" t="inlineStr"/>
    </row>
    <row r="162">
      <c r="A162" s="3" t="inlineStr">
        <is>
          <t>160</t>
        </is>
      </c>
      <c r="B162" s="3" t="inlineStr">
        <is>
          <t>NGS 260162</t>
        </is>
      </c>
      <c r="C162" s="4" t="n">
        <v>46143</v>
      </c>
      <c r="D162" s="3" t="inlineStr">
        <is>
          <t>May- 2026</t>
        </is>
      </c>
      <c r="E162" s="4" t="n">
        <v>46150</v>
      </c>
      <c r="F162" s="3" t="inlineStr">
        <is>
          <t>Sudharson Narayanan</t>
        </is>
      </c>
      <c r="G162" s="3" t="inlineStr">
        <is>
          <t>Symbiont Life Sciences</t>
        </is>
      </c>
      <c r="H162" s="3" t="inlineStr">
        <is>
          <t>Symbiont Life Sciences</t>
        </is>
      </c>
      <c r="I162" s="3" t="inlineStr">
        <is>
          <t>symbiontcs@gmail.com</t>
        </is>
      </c>
      <c r="J162" s="3" t="inlineStr">
        <is>
          <t>8838222756</t>
        </is>
      </c>
      <c r="K162" s="3" t="inlineStr">
        <is>
          <t>Mitochondrial Genome Sequencing &amp; Analysis On Illumina Platforms</t>
        </is>
      </c>
      <c r="L162" s="3" t="inlineStr">
        <is>
          <t>Tissue</t>
        </is>
      </c>
      <c r="M162" s="3" t="inlineStr">
        <is>
          <t>Mito</t>
        </is>
      </c>
      <c r="N162" s="3" t="inlineStr">
        <is>
          <t>With Analysis</t>
        </is>
      </c>
      <c r="O162" s="3" t="n">
        <v>1</v>
      </c>
      <c r="P162" s="3" t="inlineStr">
        <is>
          <t>3 GB/sample</t>
        </is>
      </c>
      <c r="Q162" s="3" t="n">
        <v>3</v>
      </c>
      <c r="R162" s="3" t="n">
        <v>3</v>
      </c>
      <c r="S162" s="3" t="n">
        <v>15000</v>
      </c>
      <c r="T162" s="5" t="n">
        <v>15000</v>
      </c>
      <c r="U162" s="5" t="n">
        <v>2700</v>
      </c>
      <c r="V162" s="5" t="n">
        <v>17700</v>
      </c>
      <c r="W162" s="3" t="inlineStr">
        <is>
          <t>UG/NGS/TP/2309855</t>
        </is>
      </c>
      <c r="X162" s="3" t="inlineStr">
        <is>
          <t>Direct</t>
        </is>
      </c>
      <c r="Y162" s="3" t="inlineStr">
        <is>
          <t>South</t>
        </is>
      </c>
      <c r="Z162" s="3" t="inlineStr">
        <is>
          <t>Chennai</t>
        </is>
      </c>
      <c r="AA162" s="3" t="n">
        <v>1</v>
      </c>
      <c r="AB162" s="3" t="n">
        <v>0</v>
      </c>
      <c r="AC162" s="4" t="n">
        <v>46162</v>
      </c>
      <c r="AD162" s="3" t="n">
        <v>12</v>
      </c>
      <c r="AE162" s="3" t="inlineStr">
        <is>
          <t>130</t>
        </is>
      </c>
      <c r="AF162" s="3" t="inlineStr"/>
      <c r="AG162" s="4" t="n">
        <v>46190</v>
      </c>
      <c r="AH162" s="3" t="inlineStr"/>
      <c r="AI162" s="3" t="inlineStr"/>
      <c r="AJ162" s="3" t="inlineStr">
        <is>
          <t xml:space="preserve"> Project Closure</t>
        </is>
      </c>
      <c r="AK162" s="5" t="n">
        <v>15000</v>
      </c>
      <c r="AL162" s="5" t="n">
        <v>2700</v>
      </c>
      <c r="AM162" s="5" t="n">
        <v>17700</v>
      </c>
      <c r="AN162" s="3" t="inlineStr"/>
      <c r="AO162" s="5" t="n">
        <v>0</v>
      </c>
      <c r="AP162" s="5" t="n">
        <v>-17700</v>
      </c>
      <c r="AQ162" s="3" t="inlineStr"/>
    </row>
    <row r="163">
      <c r="A163" s="3" t="inlineStr">
        <is>
          <t>161</t>
        </is>
      </c>
      <c r="B163" s="3" t="inlineStr">
        <is>
          <t>NGS 260163</t>
        </is>
      </c>
      <c r="C163" s="4" t="n">
        <v>46143</v>
      </c>
      <c r="D163" s="3" t="inlineStr">
        <is>
          <t>May- 2026</t>
        </is>
      </c>
      <c r="E163" s="4" t="n">
        <v>46150</v>
      </c>
      <c r="F163" s="3" t="inlineStr">
        <is>
          <t>Sudharson Narayanan</t>
        </is>
      </c>
      <c r="G163" s="3" t="inlineStr">
        <is>
          <t>Symbiont Life Sciences</t>
        </is>
      </c>
      <c r="H163" s="3" t="inlineStr">
        <is>
          <t>Symbiont Life Sciences</t>
        </is>
      </c>
      <c r="I163" s="3" t="inlineStr">
        <is>
          <t>symbiontcs@gmail.com</t>
        </is>
      </c>
      <c r="J163" s="3" t="inlineStr">
        <is>
          <t>8838222756</t>
        </is>
      </c>
      <c r="K163" s="3" t="inlineStr">
        <is>
          <t>16S Rrna Metagenome V3-V4 Sequencing &amp; Analysis On Illumina Platforms</t>
        </is>
      </c>
      <c r="L163" s="3" t="inlineStr">
        <is>
          <t>Sludge</t>
        </is>
      </c>
      <c r="M163" s="3" t="inlineStr">
        <is>
          <t>16S Seq</t>
        </is>
      </c>
      <c r="N163" s="3" t="inlineStr">
        <is>
          <t>With Analysis</t>
        </is>
      </c>
      <c r="O163" s="3" t="n">
        <v>2</v>
      </c>
      <c r="P163" s="3" t="inlineStr">
        <is>
          <t>1,00,000 reads/sample</t>
        </is>
      </c>
      <c r="Q163" s="3" t="inlineStr"/>
      <c r="R163" s="3" t="n">
        <v>0</v>
      </c>
      <c r="S163" s="3" t="n">
        <v>6000</v>
      </c>
      <c r="T163" s="5" t="n">
        <v>12000</v>
      </c>
      <c r="U163" s="5" t="n">
        <v>2160</v>
      </c>
      <c r="V163" s="5" t="n">
        <v>14160</v>
      </c>
      <c r="W163" s="3" t="inlineStr">
        <is>
          <t>UG/NGS/TP/2303214R2</t>
        </is>
      </c>
      <c r="X163" s="3" t="inlineStr">
        <is>
          <t>Pugalendhi</t>
        </is>
      </c>
      <c r="Y163" s="3" t="inlineStr">
        <is>
          <t>South</t>
        </is>
      </c>
      <c r="Z163" s="3" t="inlineStr">
        <is>
          <t>Chennai</t>
        </is>
      </c>
      <c r="AA163" s="3" t="n">
        <v>2</v>
      </c>
      <c r="AB163" s="3" t="n">
        <v>0</v>
      </c>
      <c r="AC163" s="4" t="n">
        <v>46157</v>
      </c>
      <c r="AD163" s="3" t="n">
        <v>7</v>
      </c>
      <c r="AE163" s="3" t="inlineStr">
        <is>
          <t>16s Batch -35</t>
        </is>
      </c>
      <c r="AF163" s="3" t="inlineStr"/>
      <c r="AG163" s="4" t="n">
        <v>46199</v>
      </c>
      <c r="AH163" s="3" t="inlineStr"/>
      <c r="AI163" s="3" t="inlineStr"/>
      <c r="AJ163" s="3" t="inlineStr">
        <is>
          <t xml:space="preserve"> Project Closure</t>
        </is>
      </c>
      <c r="AK163" s="5" t="n">
        <v>12000</v>
      </c>
      <c r="AL163" s="5" t="n">
        <v>2160</v>
      </c>
      <c r="AM163" s="5" t="n">
        <v>14160</v>
      </c>
      <c r="AN163" s="3" t="inlineStr"/>
      <c r="AO163" s="5" t="n">
        <v>0</v>
      </c>
      <c r="AP163" s="5" t="n">
        <v>-14160</v>
      </c>
      <c r="AQ163" s="3" t="inlineStr"/>
    </row>
    <row r="164">
      <c r="A164" s="3" t="inlineStr">
        <is>
          <t>162</t>
        </is>
      </c>
      <c r="B164" s="3" t="inlineStr">
        <is>
          <t>NGS 260164</t>
        </is>
      </c>
      <c r="C164" s="4" t="n">
        <v>46143</v>
      </c>
      <c r="D164" s="3" t="inlineStr">
        <is>
          <t>May- 2026</t>
        </is>
      </c>
      <c r="E164" s="4" t="n">
        <v>46143</v>
      </c>
      <c r="F164" s="3" t="inlineStr">
        <is>
          <t>Dr. Kaustubh Bora</t>
        </is>
      </c>
      <c r="G164" s="3" t="inlineStr">
        <is>
          <t>Icmr-Rmrcne Dibrugarh</t>
        </is>
      </c>
      <c r="H164" s="3" t="inlineStr">
        <is>
          <t>Icmr-Rmrcne Dibrugarh</t>
        </is>
      </c>
      <c r="I164" s="3" t="inlineStr">
        <is>
          <t xml:space="preserve">kaustubhbora1@gmail.com </t>
        </is>
      </c>
      <c r="J164" s="3" t="inlineStr">
        <is>
          <t>8638979640</t>
        </is>
      </c>
      <c r="K164" s="3" t="inlineStr">
        <is>
          <t>Genotyping And Genomics Services</t>
        </is>
      </c>
      <c r="L164" s="3" t="inlineStr">
        <is>
          <t>Blood</t>
        </is>
      </c>
      <c r="M164" s="3" t="inlineStr">
        <is>
          <t>N/A</t>
        </is>
      </c>
      <c r="N164" s="3" t="inlineStr">
        <is>
          <t>Without Analysis</t>
        </is>
      </c>
      <c r="O164" s="3" t="n">
        <v>10</v>
      </c>
      <c r="P164" s="3" t="inlineStr"/>
      <c r="Q164" s="3" t="inlineStr"/>
      <c r="R164" s="3" t="n">
        <v>0</v>
      </c>
      <c r="S164" s="3" t="inlineStr"/>
      <c r="T164" s="5" t="n">
        <v>0</v>
      </c>
      <c r="U164" s="5" t="n">
        <v>0</v>
      </c>
      <c r="V164" s="5" t="n">
        <v>0</v>
      </c>
      <c r="W164" s="3" t="inlineStr"/>
      <c r="X164" s="3" t="inlineStr"/>
      <c r="Y164" s="3" t="inlineStr">
        <is>
          <t>N/A</t>
        </is>
      </c>
      <c r="Z164" s="3" t="inlineStr">
        <is>
          <t>N/A</t>
        </is>
      </c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>
        <is>
          <t>Sufalam</t>
        </is>
      </c>
      <c r="AK164" s="5" t="n">
        <v>0</v>
      </c>
      <c r="AL164" s="5" t="n">
        <v>0</v>
      </c>
      <c r="AM164" s="5" t="n">
        <v>0</v>
      </c>
      <c r="AN164" s="3" t="inlineStr"/>
      <c r="AO164" s="5" t="n">
        <v>0</v>
      </c>
      <c r="AP164" s="5" t="n">
        <v>0</v>
      </c>
      <c r="AQ164" s="3" t="inlineStr"/>
    </row>
    <row r="165">
      <c r="A165" s="3" t="inlineStr">
        <is>
          <t>163</t>
        </is>
      </c>
      <c r="B165" s="3" t="inlineStr">
        <is>
          <t>NGS 260165</t>
        </is>
      </c>
      <c r="C165" s="4" t="n">
        <v>46147</v>
      </c>
      <c r="D165" s="3" t="inlineStr">
        <is>
          <t>May- 2026</t>
        </is>
      </c>
      <c r="E165" s="4" t="n">
        <v>46149</v>
      </c>
      <c r="F165" s="3" t="inlineStr">
        <is>
          <t>Dr. B.P. Urade</t>
        </is>
      </c>
      <c r="G165" s="3" t="inlineStr">
        <is>
          <t>Anthropological Survey Of India</t>
        </is>
      </c>
      <c r="H165" s="3" t="inlineStr">
        <is>
          <t>Anthropological Survey Of India</t>
        </is>
      </c>
      <c r="I165" s="3" t="inlineStr">
        <is>
          <t>ansigutmicrobiomedataaccess@gmail.com</t>
        </is>
      </c>
      <c r="J165" s="3" t="inlineStr">
        <is>
          <t>9881739563</t>
        </is>
      </c>
      <c r="K165" s="3" t="inlineStr">
        <is>
          <t>Shotgun Metagenomics Sequencing On Illumina Novaseq X Plus Platform</t>
        </is>
      </c>
      <c r="L165" s="3" t="inlineStr">
        <is>
          <t>DNA</t>
        </is>
      </c>
      <c r="M165" s="3" t="inlineStr">
        <is>
          <t>Shotgun</t>
        </is>
      </c>
      <c r="N165" s="3" t="inlineStr">
        <is>
          <t>Without Analysis</t>
        </is>
      </c>
      <c r="O165" s="3" t="n">
        <v>122</v>
      </c>
      <c r="P165" s="3" t="inlineStr">
        <is>
          <t>5 GB/sample</t>
        </is>
      </c>
      <c r="Q165" s="3" t="n">
        <v>5</v>
      </c>
      <c r="R165" s="3" t="n">
        <v>610</v>
      </c>
      <c r="S165" s="3" t="n">
        <v>3535</v>
      </c>
      <c r="T165" s="5" t="n">
        <v>431270</v>
      </c>
      <c r="U165" s="5" t="n">
        <v>77628.59999999999</v>
      </c>
      <c r="V165" s="5" t="n">
        <v>508898.6</v>
      </c>
      <c r="W165" s="3" t="inlineStr">
        <is>
          <t>GEMC-511687721709339</t>
        </is>
      </c>
      <c r="X165" s="3" t="inlineStr">
        <is>
          <t>Direct</t>
        </is>
      </c>
      <c r="Y165" s="3" t="inlineStr">
        <is>
          <t>East</t>
        </is>
      </c>
      <c r="Z165" s="3" t="inlineStr">
        <is>
          <t>Kolkatta</t>
        </is>
      </c>
      <c r="AA165" s="3" t="n">
        <v>122</v>
      </c>
      <c r="AB165" s="3" t="n">
        <v>0</v>
      </c>
      <c r="AC165" s="4" t="n">
        <v>46153</v>
      </c>
      <c r="AD165" s="3" t="n">
        <v>4</v>
      </c>
      <c r="AE165" s="3" t="inlineStr">
        <is>
          <t>129 &amp; 132</t>
        </is>
      </c>
      <c r="AF165" s="3" t="inlineStr"/>
      <c r="AG165" s="3" t="inlineStr"/>
      <c r="AH165" s="3" t="inlineStr"/>
      <c r="AI165" s="3" t="inlineStr"/>
      <c r="AJ165" s="3" t="inlineStr"/>
      <c r="AK165" s="5" t="n">
        <v>431270</v>
      </c>
      <c r="AL165" s="5" t="n">
        <v>77628.59999999999</v>
      </c>
      <c r="AM165" s="5" t="n">
        <v>508898.6</v>
      </c>
      <c r="AN165" s="3" t="inlineStr"/>
      <c r="AO165" s="5" t="n">
        <v>0</v>
      </c>
      <c r="AP165" s="5" t="n">
        <v>-508898.6</v>
      </c>
      <c r="AQ165" s="3" t="inlineStr"/>
    </row>
    <row r="166">
      <c r="A166" s="3" t="inlineStr">
        <is>
          <t>164</t>
        </is>
      </c>
      <c r="B166" s="3" t="inlineStr">
        <is>
          <t>NGS 260166</t>
        </is>
      </c>
      <c r="C166" s="4" t="n">
        <v>46147</v>
      </c>
      <c r="D166" s="3" t="inlineStr">
        <is>
          <t>May- 2026</t>
        </is>
      </c>
      <c r="E166" s="4" t="n">
        <v>46151</v>
      </c>
      <c r="F166" s="3" t="inlineStr">
        <is>
          <t>Sudharson Narayanan</t>
        </is>
      </c>
      <c r="G166" s="3" t="inlineStr">
        <is>
          <t>Symbiont Life Sciences</t>
        </is>
      </c>
      <c r="H166" s="3" t="inlineStr">
        <is>
          <t>Symbiont Life Sciences</t>
        </is>
      </c>
      <c r="I166" s="3" t="inlineStr">
        <is>
          <t>symbiontcs@gmail.com</t>
        </is>
      </c>
      <c r="J166" s="3" t="inlineStr">
        <is>
          <t>8838222756</t>
        </is>
      </c>
      <c r="K166" s="3" t="inlineStr">
        <is>
          <t>16S Rrna Metagenome V3-V4 Sequencing &amp; Analysis On Illumina Platforms</t>
        </is>
      </c>
      <c r="L166" s="3" t="inlineStr">
        <is>
          <t>Env Samples</t>
        </is>
      </c>
      <c r="M166" s="3" t="inlineStr">
        <is>
          <t>16S Seq</t>
        </is>
      </c>
      <c r="N166" s="3" t="inlineStr">
        <is>
          <t>With Analysis</t>
        </is>
      </c>
      <c r="O166" s="3" t="n">
        <v>4</v>
      </c>
      <c r="P166" s="3" t="inlineStr">
        <is>
          <t>1,00,000 reads/sample</t>
        </is>
      </c>
      <c r="Q166" s="3" t="inlineStr"/>
      <c r="R166" s="3" t="n">
        <v>0</v>
      </c>
      <c r="S166" s="3" t="n">
        <v>6000</v>
      </c>
      <c r="T166" s="5" t="n">
        <v>24000</v>
      </c>
      <c r="U166" s="5" t="n">
        <v>4320</v>
      </c>
      <c r="V166" s="5" t="n">
        <v>28320</v>
      </c>
      <c r="W166" s="3" t="inlineStr">
        <is>
          <t>UG/NGS/TP/2303214R2</t>
        </is>
      </c>
      <c r="X166" s="3" t="inlineStr">
        <is>
          <t>Pugalendhi</t>
        </is>
      </c>
      <c r="Y166" s="3" t="inlineStr">
        <is>
          <t>South</t>
        </is>
      </c>
      <c r="Z166" s="3" t="inlineStr">
        <is>
          <t>Chennai</t>
        </is>
      </c>
      <c r="AA166" s="3" t="n">
        <v>4</v>
      </c>
      <c r="AB166" s="3" t="n">
        <v>0</v>
      </c>
      <c r="AC166" s="4" t="n">
        <v>46157</v>
      </c>
      <c r="AD166" s="3" t="n">
        <v>6</v>
      </c>
      <c r="AE166" s="3" t="inlineStr">
        <is>
          <t>16s Batch -35</t>
        </is>
      </c>
      <c r="AF166" s="3" t="inlineStr"/>
      <c r="AG166" s="4" t="n">
        <v>46205</v>
      </c>
      <c r="AH166" s="3" t="inlineStr"/>
      <c r="AI166" s="3" t="inlineStr"/>
      <c r="AJ166" s="3" t="inlineStr">
        <is>
          <t xml:space="preserve"> Project Closure</t>
        </is>
      </c>
      <c r="AK166" s="5" t="n">
        <v>24000</v>
      </c>
      <c r="AL166" s="5" t="n">
        <v>4320</v>
      </c>
      <c r="AM166" s="5" t="n">
        <v>28320</v>
      </c>
      <c r="AN166" s="3" t="inlineStr"/>
      <c r="AO166" s="5" t="n">
        <v>0</v>
      </c>
      <c r="AP166" s="5" t="n">
        <v>-28320</v>
      </c>
      <c r="AQ166" s="3" t="inlineStr"/>
    </row>
    <row r="167">
      <c r="A167" s="3" t="inlineStr">
        <is>
          <t>165</t>
        </is>
      </c>
      <c r="B167" s="3" t="inlineStr">
        <is>
          <t>NGS 260167</t>
        </is>
      </c>
      <c r="C167" s="4" t="n">
        <v>46147</v>
      </c>
      <c r="D167" s="3" t="inlineStr">
        <is>
          <t>May- 2026</t>
        </is>
      </c>
      <c r="E167" s="3" t="inlineStr"/>
      <c r="F167" s="3" t="inlineStr">
        <is>
          <t>Dr. Ankita Singh</t>
        </is>
      </c>
      <c r="G167" s="3" t="inlineStr">
        <is>
          <t>Scientific Affairs, Icga Foundation</t>
        </is>
      </c>
      <c r="H167" s="3" t="inlineStr">
        <is>
          <t>Scientific Affairs, Icga Foundation</t>
        </is>
      </c>
      <c r="I167" s="3" t="inlineStr">
        <is>
          <t>ankita@icga.co.in</t>
        </is>
      </c>
      <c r="J167" s="3" t="inlineStr">
        <is>
          <t>9971881001 / 9999649610</t>
        </is>
      </c>
      <c r="K167" s="3" t="inlineStr">
        <is>
          <t>Whole Exome Sequencing &amp; Analysis On Illumina Novaseq X Plus Platform (80X)(Nt)</t>
        </is>
      </c>
      <c r="L167" s="3" t="inlineStr">
        <is>
          <t>Tissue</t>
        </is>
      </c>
      <c r="M167" s="3" t="inlineStr">
        <is>
          <t>Wes Seq</t>
        </is>
      </c>
      <c r="N167" s="3" t="inlineStr">
        <is>
          <t xml:space="preserve">With Analysis </t>
        </is>
      </c>
      <c r="O167" s="3" t="n">
        <v>51</v>
      </c>
      <c r="P167" s="3" t="inlineStr">
        <is>
          <t>8-10 GB/Sample (80X)</t>
        </is>
      </c>
      <c r="Q167" s="3" t="n">
        <v>36</v>
      </c>
      <c r="R167" s="3" t="n">
        <v>1836</v>
      </c>
      <c r="S167" s="3" t="n">
        <v>25500</v>
      </c>
      <c r="T167" s="5" t="n">
        <v>1300500</v>
      </c>
      <c r="U167" s="5" t="n">
        <v>234090</v>
      </c>
      <c r="V167" s="5" t="n">
        <v>1534590</v>
      </c>
      <c r="W167" s="3" t="inlineStr">
        <is>
          <t>UG/NGS/TP/2602515</t>
        </is>
      </c>
      <c r="X167" s="3" t="inlineStr">
        <is>
          <t>Direct</t>
        </is>
      </c>
      <c r="Y167" s="3" t="inlineStr">
        <is>
          <t>Maharashtra</t>
        </is>
      </c>
      <c r="Z167" s="3" t="inlineStr">
        <is>
          <t>Pune</t>
        </is>
      </c>
      <c r="AA167" s="3" t="inlineStr"/>
      <c r="AB167" s="3" t="inlineStr"/>
      <c r="AC167" s="3" t="inlineStr"/>
      <c r="AD167" s="3" t="inlineStr"/>
      <c r="AE167" s="3" t="inlineStr"/>
      <c r="AF167" s="3" t="inlineStr"/>
      <c r="AG167" s="3" t="inlineStr"/>
      <c r="AH167" s="3" t="inlineStr"/>
      <c r="AI167" s="3" t="inlineStr"/>
      <c r="AJ167" s="3" t="inlineStr"/>
      <c r="AK167" s="5" t="n">
        <v>0</v>
      </c>
      <c r="AL167" s="5" t="n">
        <v>0</v>
      </c>
      <c r="AM167" s="5" t="n">
        <v>0</v>
      </c>
      <c r="AN167" s="3" t="inlineStr"/>
      <c r="AO167" s="5" t="n">
        <v>0</v>
      </c>
      <c r="AP167" s="5" t="n">
        <v>0</v>
      </c>
      <c r="AQ167" s="3" t="inlineStr"/>
    </row>
    <row r="168">
      <c r="A168" s="3" t="inlineStr">
        <is>
          <t>166</t>
        </is>
      </c>
      <c r="B168" s="3" t="inlineStr">
        <is>
          <t>NGS 260168</t>
        </is>
      </c>
      <c r="C168" s="4" t="n">
        <v>46147</v>
      </c>
      <c r="D168" s="3" t="inlineStr">
        <is>
          <t>May- 2026</t>
        </is>
      </c>
      <c r="E168" s="3" t="inlineStr"/>
      <c r="F168" s="3" t="inlineStr">
        <is>
          <t>Dr. Ankita Singh</t>
        </is>
      </c>
      <c r="G168" s="3" t="inlineStr">
        <is>
          <t>Scientific Affairs, Icga Foundation</t>
        </is>
      </c>
      <c r="H168" s="3" t="inlineStr">
        <is>
          <t>Scientific Affairs, Icga Foundation</t>
        </is>
      </c>
      <c r="I168" s="3" t="inlineStr">
        <is>
          <t>ankita@icga.co.in</t>
        </is>
      </c>
      <c r="J168" s="3" t="inlineStr">
        <is>
          <t>9971881001 / 9999649610</t>
        </is>
      </c>
      <c r="K168" s="3" t="inlineStr">
        <is>
          <t>Whole Transcriptome Sequencing &amp; Analysis On Illumina Novaseq X Plus Platform (Ribodepletion)</t>
        </is>
      </c>
      <c r="L168" s="3" t="inlineStr">
        <is>
          <t>Tissue</t>
        </is>
      </c>
      <c r="M168" s="3" t="inlineStr">
        <is>
          <t>Wts Seq</t>
        </is>
      </c>
      <c r="N168" s="3" t="inlineStr">
        <is>
          <t xml:space="preserve">With Analysis </t>
        </is>
      </c>
      <c r="O168" s="3" t="n">
        <v>102</v>
      </c>
      <c r="P168" s="3" t="inlineStr">
        <is>
          <t>35-36 GB /sample</t>
        </is>
      </c>
      <c r="Q168" s="3" t="n">
        <v>36</v>
      </c>
      <c r="R168" s="3" t="n">
        <v>3672</v>
      </c>
      <c r="S168" s="3" t="n">
        <v>25500</v>
      </c>
      <c r="T168" s="5" t="n">
        <v>2601000</v>
      </c>
      <c r="U168" s="5" t="n">
        <v>468180</v>
      </c>
      <c r="V168" s="5" t="n">
        <v>3069180</v>
      </c>
      <c r="W168" s="3" t="inlineStr">
        <is>
          <t>UG/NGS/TP/2602515</t>
        </is>
      </c>
      <c r="X168" s="3" t="inlineStr">
        <is>
          <t>Direct</t>
        </is>
      </c>
      <c r="Y168" s="3" t="inlineStr">
        <is>
          <t>Maharashtra</t>
        </is>
      </c>
      <c r="Z168" s="3" t="inlineStr">
        <is>
          <t>Pune</t>
        </is>
      </c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5" t="n">
        <v>0</v>
      </c>
      <c r="AL168" s="5" t="n">
        <v>0</v>
      </c>
      <c r="AM168" s="5" t="n">
        <v>0</v>
      </c>
      <c r="AN168" s="3" t="inlineStr"/>
      <c r="AO168" s="5" t="n">
        <v>0</v>
      </c>
      <c r="AP168" s="5" t="n">
        <v>0</v>
      </c>
      <c r="AQ168" s="3" t="inlineStr"/>
    </row>
    <row r="169">
      <c r="A169" s="3" t="inlineStr">
        <is>
          <t>167</t>
        </is>
      </c>
      <c r="B169" s="3" t="inlineStr">
        <is>
          <t>NGS 260169</t>
        </is>
      </c>
      <c r="C169" s="4" t="n">
        <v>46147</v>
      </c>
      <c r="D169" s="3" t="inlineStr">
        <is>
          <t>May- 2026</t>
        </is>
      </c>
      <c r="E169" s="3" t="inlineStr"/>
      <c r="F169" s="3" t="inlineStr">
        <is>
          <t>Dr. Ankita Singh</t>
        </is>
      </c>
      <c r="G169" s="3" t="inlineStr">
        <is>
          <t>Scientific Affairs, Icga Foundation</t>
        </is>
      </c>
      <c r="H169" s="3" t="inlineStr">
        <is>
          <t>Scientific Affairs, Icga Foundation</t>
        </is>
      </c>
      <c r="I169" s="3" t="inlineStr"/>
      <c r="J169" s="3" t="inlineStr"/>
      <c r="K169" s="3" t="inlineStr">
        <is>
          <t>Whole Exome Sequencing &amp; Analysis On Illumina Novaseq X Plus Platform(150X)(Tt)</t>
        </is>
      </c>
      <c r="L169" s="3" t="inlineStr">
        <is>
          <t>Tissue</t>
        </is>
      </c>
      <c r="M169" s="3" t="inlineStr">
        <is>
          <t>Wes Seq</t>
        </is>
      </c>
      <c r="N169" s="3" t="inlineStr">
        <is>
          <t xml:space="preserve">With Analysis </t>
        </is>
      </c>
      <c r="O169" s="3" t="n">
        <v>51</v>
      </c>
      <c r="P169" s="3" t="inlineStr">
        <is>
          <t>25-30 GB/Sample (150X)</t>
        </is>
      </c>
      <c r="Q169" s="3" t="n">
        <v>30</v>
      </c>
      <c r="R169" s="3" t="n">
        <v>1530</v>
      </c>
      <c r="S169" s="3" t="n">
        <v>800000</v>
      </c>
      <c r="T169" s="5" t="n">
        <v>0</v>
      </c>
      <c r="U169" s="5" t="n">
        <v>0</v>
      </c>
      <c r="V169" s="5" t="n">
        <v>0</v>
      </c>
      <c r="W169" s="3" t="inlineStr"/>
      <c r="X169" s="3" t="inlineStr"/>
      <c r="Y169" s="3" t="inlineStr">
        <is>
          <t>N/A</t>
        </is>
      </c>
      <c r="Z169" s="3" t="inlineStr">
        <is>
          <t>N/A</t>
        </is>
      </c>
      <c r="AA169" s="3" t="inlineStr"/>
      <c r="AB169" s="3" t="inlineStr"/>
      <c r="AC169" s="3" t="inlineStr"/>
      <c r="AD169" s="3" t="inlineStr"/>
      <c r="AE169" s="3" t="inlineStr"/>
      <c r="AF169" s="3" t="inlineStr"/>
      <c r="AG169" s="3" t="inlineStr"/>
      <c r="AH169" s="3" t="inlineStr"/>
      <c r="AI169" s="3" t="inlineStr"/>
      <c r="AJ169" s="3" t="inlineStr"/>
      <c r="AK169" s="5" t="n">
        <v>0</v>
      </c>
      <c r="AL169" s="5" t="n">
        <v>0</v>
      </c>
      <c r="AM169" s="5" t="n">
        <v>0</v>
      </c>
      <c r="AN169" s="3" t="inlineStr"/>
      <c r="AO169" s="5" t="n">
        <v>0</v>
      </c>
      <c r="AP169" s="5" t="n">
        <v>0</v>
      </c>
      <c r="AQ169" s="3" t="inlineStr"/>
    </row>
    <row r="170">
      <c r="A170" s="3" t="inlineStr">
        <is>
          <t>168</t>
        </is>
      </c>
      <c r="B170" s="3" t="inlineStr">
        <is>
          <t>NGS 260170</t>
        </is>
      </c>
      <c r="C170" s="4" t="n">
        <v>46156</v>
      </c>
      <c r="D170" s="3" t="inlineStr">
        <is>
          <t>May- 2026</t>
        </is>
      </c>
      <c r="E170" s="4" t="n">
        <v>46157</v>
      </c>
      <c r="F170" s="3" t="inlineStr">
        <is>
          <t>Dr. Arpita Ghosh Mitra</t>
        </is>
      </c>
      <c r="G170" s="3" t="inlineStr">
        <is>
          <t>Rgcirc</t>
        </is>
      </c>
      <c r="H170" s="3" t="inlineStr">
        <is>
          <t>Rgcirc</t>
        </is>
      </c>
      <c r="I170" s="3" t="inlineStr">
        <is>
          <t xml:space="preserve">drrajatsaha78@gmail.com, ghosh.arpita@rgcirc.org </t>
        </is>
      </c>
      <c r="J170" s="3" t="inlineStr">
        <is>
          <t>9433489589</t>
        </is>
      </c>
      <c r="K170" s="3" t="inlineStr">
        <is>
          <t>Whole Exome Sequencing &amp; Analysis On Illumina Novaseq X Plus Platform</t>
        </is>
      </c>
      <c r="L170" s="3" t="inlineStr">
        <is>
          <t>Tissue</t>
        </is>
      </c>
      <c r="M170" s="3" t="inlineStr">
        <is>
          <t>Wes Seq</t>
        </is>
      </c>
      <c r="N170" s="3" t="inlineStr">
        <is>
          <t>With Analysis</t>
        </is>
      </c>
      <c r="O170" s="3" t="n">
        <v>5</v>
      </c>
      <c r="P170" s="3" t="inlineStr">
        <is>
          <t>10-12 GB/Sample (200X)</t>
        </is>
      </c>
      <c r="Q170" s="3" t="n">
        <v>12</v>
      </c>
      <c r="R170" s="3" t="n">
        <v>60</v>
      </c>
      <c r="S170" s="3" t="n">
        <v>12700</v>
      </c>
      <c r="T170" s="5" t="n">
        <v>63500</v>
      </c>
      <c r="U170" s="5" t="n">
        <v>11430</v>
      </c>
      <c r="V170" s="5" t="n">
        <v>74930</v>
      </c>
      <c r="W170" s="3" t="inlineStr">
        <is>
          <t>UG/NGS/TP/2603632R1</t>
        </is>
      </c>
      <c r="X170" s="3" t="inlineStr">
        <is>
          <t>harsh</t>
        </is>
      </c>
      <c r="Y170" s="3" t="inlineStr">
        <is>
          <t>North</t>
        </is>
      </c>
      <c r="Z170" s="3" t="inlineStr">
        <is>
          <t>New Delhi</t>
        </is>
      </c>
      <c r="AA170" s="3" t="n">
        <v>5</v>
      </c>
      <c r="AB170" s="3" t="n">
        <v>0</v>
      </c>
      <c r="AC170" s="4" t="n">
        <v>46170</v>
      </c>
      <c r="AD170" s="3" t="n">
        <v>13</v>
      </c>
      <c r="AE170" s="3" t="inlineStr">
        <is>
          <t>131 &amp; 134</t>
        </is>
      </c>
      <c r="AF170" s="3" t="inlineStr"/>
      <c r="AG170" s="4" t="n">
        <v>46196</v>
      </c>
      <c r="AH170" s="3" t="inlineStr"/>
      <c r="AI170" s="3" t="inlineStr"/>
      <c r="AJ170" s="3" t="inlineStr"/>
      <c r="AK170" s="5" t="n">
        <v>63500</v>
      </c>
      <c r="AL170" s="5" t="n">
        <v>11430</v>
      </c>
      <c r="AM170" s="5" t="n">
        <v>74930</v>
      </c>
      <c r="AN170" s="3" t="inlineStr"/>
      <c r="AO170" s="5" t="n">
        <v>0</v>
      </c>
      <c r="AP170" s="5" t="n">
        <v>-74930</v>
      </c>
      <c r="AQ170" s="3" t="inlineStr"/>
    </row>
    <row r="171">
      <c r="A171" s="3" t="inlineStr">
        <is>
          <t>169</t>
        </is>
      </c>
      <c r="B171" s="3" t="inlineStr">
        <is>
          <t>NGS 260171</t>
        </is>
      </c>
      <c r="C171" s="4" t="n">
        <v>46156</v>
      </c>
      <c r="D171" s="3" t="inlineStr">
        <is>
          <t>May- 2026</t>
        </is>
      </c>
      <c r="E171" s="4" t="n">
        <v>46157</v>
      </c>
      <c r="F171" s="3" t="inlineStr">
        <is>
          <t>Dr. Arpita Ghosh Mitra</t>
        </is>
      </c>
      <c r="G171" s="3" t="inlineStr">
        <is>
          <t>Rgcirc</t>
        </is>
      </c>
      <c r="H171" s="3" t="inlineStr">
        <is>
          <t>Rgcirc</t>
        </is>
      </c>
      <c r="I171" s="3" t="inlineStr">
        <is>
          <t xml:space="preserve">drrajatsaha78@gmail.com, ghosh.arpita@rgcirc.org </t>
        </is>
      </c>
      <c r="J171" s="3" t="inlineStr">
        <is>
          <t>9433489589</t>
        </is>
      </c>
      <c r="K171" s="3" t="inlineStr">
        <is>
          <t>Clinical Exome Sequencing With Mitochondria Illumina Novaseq X Plus Platform (Final Report)</t>
        </is>
      </c>
      <c r="L171" s="3" t="inlineStr">
        <is>
          <t>Ffpe Tissue</t>
        </is>
      </c>
      <c r="M171" s="3" t="inlineStr">
        <is>
          <t>Wes Seq</t>
        </is>
      </c>
      <c r="N171" s="3" t="inlineStr">
        <is>
          <t>With Analysis</t>
        </is>
      </c>
      <c r="O171" s="3" t="n">
        <v>10</v>
      </c>
      <c r="P171" s="3" t="inlineStr">
        <is>
          <t>8-10 GB/Sample</t>
        </is>
      </c>
      <c r="Q171" s="3" t="n">
        <v>10</v>
      </c>
      <c r="R171" s="3" t="n">
        <v>100</v>
      </c>
      <c r="S171" s="3" t="n">
        <v>16000</v>
      </c>
      <c r="T171" s="5" t="n">
        <v>160000</v>
      </c>
      <c r="U171" s="5" t="n">
        <v>28800</v>
      </c>
      <c r="V171" s="5" t="n">
        <v>188800</v>
      </c>
      <c r="W171" s="3" t="inlineStr"/>
      <c r="X171" s="3" t="inlineStr">
        <is>
          <t>harsh</t>
        </is>
      </c>
      <c r="Y171" s="3" t="inlineStr">
        <is>
          <t>North</t>
        </is>
      </c>
      <c r="Z171" s="3" t="inlineStr">
        <is>
          <t>New Delhi</t>
        </is>
      </c>
      <c r="AA171" s="3" t="n">
        <v>10</v>
      </c>
      <c r="AB171" s="3" t="n">
        <v>0</v>
      </c>
      <c r="AC171" s="4" t="n">
        <v>46170</v>
      </c>
      <c r="AD171" s="3" t="n">
        <v>13</v>
      </c>
      <c r="AE171" s="3" t="inlineStr">
        <is>
          <t>132 (2 samples Topup)</t>
        </is>
      </c>
      <c r="AF171" s="3" t="inlineStr"/>
      <c r="AG171" s="4" t="n">
        <v>46209</v>
      </c>
      <c r="AH171" s="3" t="inlineStr"/>
      <c r="AI171" s="3" t="inlineStr"/>
      <c r="AJ171" s="3" t="inlineStr">
        <is>
          <t xml:space="preserve"> Project Closure</t>
        </is>
      </c>
      <c r="AK171" s="5" t="n">
        <v>160000</v>
      </c>
      <c r="AL171" s="5" t="n">
        <v>28800</v>
      </c>
      <c r="AM171" s="5" t="n">
        <v>188800</v>
      </c>
      <c r="AN171" s="3" t="inlineStr"/>
      <c r="AO171" s="5" t="n">
        <v>0</v>
      </c>
      <c r="AP171" s="5" t="n">
        <v>-188800</v>
      </c>
      <c r="AQ171" s="3" t="inlineStr"/>
    </row>
    <row r="172">
      <c r="A172" s="3" t="inlineStr">
        <is>
          <t>170</t>
        </is>
      </c>
      <c r="B172" s="3" t="inlineStr">
        <is>
          <t>NGS 260172</t>
        </is>
      </c>
      <c r="C172" s="4" t="n">
        <v>46156</v>
      </c>
      <c r="D172" s="3" t="inlineStr">
        <is>
          <t>May- 2026</t>
        </is>
      </c>
      <c r="E172" s="4" t="n">
        <v>46157</v>
      </c>
      <c r="F172" s="3" t="inlineStr">
        <is>
          <t>Dr. Arpita Ghosh Mitra</t>
        </is>
      </c>
      <c r="G172" s="3" t="inlineStr">
        <is>
          <t>Rgcirc</t>
        </is>
      </c>
      <c r="H172" s="3" t="inlineStr">
        <is>
          <t>Rgcirc</t>
        </is>
      </c>
      <c r="I172" s="3" t="inlineStr">
        <is>
          <t xml:space="preserve">drrajatsaha78@gmail.com, ghosh.arpita@rgcirc.org </t>
        </is>
      </c>
      <c r="J172" s="3" t="inlineStr">
        <is>
          <t>9433489589</t>
        </is>
      </c>
      <c r="K172" s="3" t="inlineStr">
        <is>
          <t>N/A</t>
        </is>
      </c>
      <c r="L172" s="3" t="inlineStr">
        <is>
          <t>Tissue</t>
        </is>
      </c>
      <c r="M172" s="3" t="inlineStr">
        <is>
          <t>Mito Seq</t>
        </is>
      </c>
      <c r="N172" s="3" t="inlineStr">
        <is>
          <t>With Analysis</t>
        </is>
      </c>
      <c r="O172" s="3" t="n">
        <v>5</v>
      </c>
      <c r="P172" s="3" t="inlineStr">
        <is>
          <t>10-12 GB/Sample(1000X)</t>
        </is>
      </c>
      <c r="Q172" s="3" t="n">
        <v>12</v>
      </c>
      <c r="R172" s="3" t="n">
        <v>60</v>
      </c>
      <c r="S172" s="3" t="n">
        <v>12700</v>
      </c>
      <c r="T172" s="5" t="n">
        <v>63500</v>
      </c>
      <c r="U172" s="5" t="n">
        <v>11430</v>
      </c>
      <c r="V172" s="5" t="n">
        <v>74930</v>
      </c>
      <c r="W172" s="3" t="inlineStr"/>
      <c r="X172" s="3" t="inlineStr">
        <is>
          <t>harsh</t>
        </is>
      </c>
      <c r="Y172" s="3" t="inlineStr">
        <is>
          <t>North</t>
        </is>
      </c>
      <c r="Z172" s="3" t="inlineStr">
        <is>
          <t>New Delhi</t>
        </is>
      </c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5" t="n">
        <v>0</v>
      </c>
      <c r="AL172" s="5" t="n">
        <v>0</v>
      </c>
      <c r="AM172" s="5" t="n">
        <v>0</v>
      </c>
      <c r="AN172" s="3" t="inlineStr"/>
      <c r="AO172" s="5" t="n">
        <v>0</v>
      </c>
      <c r="AP172" s="5" t="n">
        <v>0</v>
      </c>
      <c r="AQ172" s="3" t="inlineStr"/>
    </row>
    <row r="173">
      <c r="A173" s="3" t="inlineStr">
        <is>
          <t>171</t>
        </is>
      </c>
      <c r="B173" s="3" t="inlineStr">
        <is>
          <t>NGS 260174</t>
        </is>
      </c>
      <c r="C173" s="4" t="n">
        <v>46160</v>
      </c>
      <c r="D173" s="3" t="inlineStr">
        <is>
          <t>May- 2026</t>
        </is>
      </c>
      <c r="E173" s="4" t="n">
        <v>46161</v>
      </c>
      <c r="F173" s="3" t="inlineStr">
        <is>
          <t>Dr.Shilpi Minocha</t>
        </is>
      </c>
      <c r="G173" s="3" t="inlineStr">
        <is>
          <t>IIT-D</t>
        </is>
      </c>
      <c r="H173" s="3" t="inlineStr">
        <is>
          <t>IIT-D</t>
        </is>
      </c>
      <c r="I173" s="3" t="inlineStr">
        <is>
          <t>Shilpi.Minocha@bioschool.iitd.ac.in</t>
        </is>
      </c>
      <c r="J173" s="3" t="inlineStr">
        <is>
          <t>8130613007</t>
        </is>
      </c>
      <c r="K173" s="3" t="inlineStr">
        <is>
          <t>Whole Transcriptome Sequencing On Illumina Novaseq X Plus Platform</t>
        </is>
      </c>
      <c r="L173" s="3" t="inlineStr">
        <is>
          <t>Zebrafish Embryos</t>
        </is>
      </c>
      <c r="M173" s="3" t="inlineStr">
        <is>
          <t>Wts Seq</t>
        </is>
      </c>
      <c r="N173" s="3" t="inlineStr">
        <is>
          <t>Without Analysis</t>
        </is>
      </c>
      <c r="O173" s="3" t="n">
        <v>21</v>
      </c>
      <c r="P173" s="3" t="inlineStr">
        <is>
          <t>6-8 GB/Sample</t>
        </is>
      </c>
      <c r="Q173" s="3" t="n">
        <v>8</v>
      </c>
      <c r="R173" s="3" t="n">
        <v>168</v>
      </c>
      <c r="S173" s="3" t="n">
        <v>12500</v>
      </c>
      <c r="T173" s="5" t="n">
        <v>262500</v>
      </c>
      <c r="U173" s="5" t="n">
        <v>47250</v>
      </c>
      <c r="V173" s="5" t="n">
        <v>309750</v>
      </c>
      <c r="W173" s="3" t="inlineStr">
        <is>
          <t>UG/NGS/TP/2511282R2</t>
        </is>
      </c>
      <c r="X173" s="3" t="inlineStr">
        <is>
          <t>harsh</t>
        </is>
      </c>
      <c r="Y173" s="3" t="inlineStr">
        <is>
          <t>North</t>
        </is>
      </c>
      <c r="Z173" s="3" t="inlineStr">
        <is>
          <t>New Delhi</t>
        </is>
      </c>
      <c r="AA173" s="3" t="n">
        <v>21</v>
      </c>
      <c r="AB173" s="3" t="n">
        <v>0</v>
      </c>
      <c r="AC173" s="4" t="n">
        <v>46175</v>
      </c>
      <c r="AD173" s="3" t="n">
        <v>14</v>
      </c>
      <c r="AE173" s="3" t="inlineStr">
        <is>
          <t>134 &amp; 136</t>
        </is>
      </c>
      <c r="AF173" s="3" t="inlineStr"/>
      <c r="AG173" s="3" t="inlineStr"/>
      <c r="AH173" s="3" t="inlineStr"/>
      <c r="AI173" s="3" t="inlineStr"/>
      <c r="AJ173" s="3" t="inlineStr"/>
      <c r="AK173" s="5" t="n">
        <v>262500</v>
      </c>
      <c r="AL173" s="5" t="n">
        <v>47250</v>
      </c>
      <c r="AM173" s="5" t="n">
        <v>309750</v>
      </c>
      <c r="AN173" s="3" t="inlineStr"/>
      <c r="AO173" s="5" t="n">
        <v>0</v>
      </c>
      <c r="AP173" s="5" t="n">
        <v>-309750</v>
      </c>
      <c r="AQ173" s="3" t="inlineStr"/>
    </row>
    <row r="174">
      <c r="A174" s="3" t="inlineStr">
        <is>
          <t>172</t>
        </is>
      </c>
      <c r="B174" s="3" t="inlineStr">
        <is>
          <t>NGS 260175</t>
        </is>
      </c>
      <c r="C174" s="4" t="n">
        <v>46160</v>
      </c>
      <c r="D174" s="3" t="inlineStr">
        <is>
          <t>May- 2026</t>
        </is>
      </c>
      <c r="E174" s="4" t="n">
        <v>46161</v>
      </c>
      <c r="F174" s="3" t="inlineStr">
        <is>
          <t>Dr. Syed Mansoor Ali</t>
        </is>
      </c>
      <c r="G174" s="3" t="inlineStr">
        <is>
          <t>Jamia Millia Islamia</t>
        </is>
      </c>
      <c r="H174" s="3" t="inlineStr">
        <is>
          <t>Jamia Millia Islamia</t>
        </is>
      </c>
      <c r="I174" s="3" t="inlineStr">
        <is>
          <t>Aman007alamkhan@gmail.com</t>
        </is>
      </c>
      <c r="J174" s="3" t="inlineStr">
        <is>
          <t>9971076460</t>
        </is>
      </c>
      <c r="K174" s="3" t="inlineStr">
        <is>
          <t>Transcriptome Sequencing (Mrna + Lnc RNA) &amp; Analysis On Illumina Novaseq X Plus Platform (Ribodepletion)</t>
        </is>
      </c>
      <c r="L174" s="3" t="inlineStr">
        <is>
          <t>Lung Tissue And RNA</t>
        </is>
      </c>
      <c r="M174" s="3" t="inlineStr">
        <is>
          <t>N/A</t>
        </is>
      </c>
      <c r="N174" s="3" t="inlineStr">
        <is>
          <t>With Analysis</t>
        </is>
      </c>
      <c r="O174" s="3" t="n">
        <v>36</v>
      </c>
      <c r="P174" s="3" t="inlineStr">
        <is>
          <t>8-10 GB/Sample</t>
        </is>
      </c>
      <c r="Q174" s="3" t="n">
        <v>10</v>
      </c>
      <c r="R174" s="3" t="n">
        <v>360</v>
      </c>
      <c r="S174" s="3" t="n">
        <v>14000</v>
      </c>
      <c r="T174" s="5" t="n">
        <v>504000</v>
      </c>
      <c r="U174" s="5" t="n">
        <v>90720</v>
      </c>
      <c r="V174" s="5" t="n">
        <v>594720</v>
      </c>
      <c r="W174" s="3" t="inlineStr">
        <is>
          <t>UG/NGS/TP/2603587R1</t>
        </is>
      </c>
      <c r="X174" s="3" t="inlineStr">
        <is>
          <t>harsh</t>
        </is>
      </c>
      <c r="Y174" s="3" t="inlineStr">
        <is>
          <t>North</t>
        </is>
      </c>
      <c r="Z174" s="3" t="inlineStr">
        <is>
          <t>New Delhi</t>
        </is>
      </c>
      <c r="AA174" s="3" t="n">
        <v>9</v>
      </c>
      <c r="AB174" s="3" t="n">
        <v>27</v>
      </c>
      <c r="AC174" s="4" t="n">
        <v>46165</v>
      </c>
      <c r="AD174" s="3" t="n">
        <v>4</v>
      </c>
      <c r="AE174" s="3" t="inlineStr">
        <is>
          <t>136</t>
        </is>
      </c>
      <c r="AF174" s="3" t="inlineStr"/>
      <c r="AG174" s="3" t="inlineStr"/>
      <c r="AH174" s="3" t="inlineStr"/>
      <c r="AI174" s="3" t="inlineStr"/>
      <c r="AJ174" s="3" t="inlineStr"/>
      <c r="AK174" s="5" t="n">
        <v>126000</v>
      </c>
      <c r="AL174" s="5" t="n">
        <v>22680</v>
      </c>
      <c r="AM174" s="5" t="n">
        <v>148680</v>
      </c>
      <c r="AN174" s="3" t="inlineStr"/>
      <c r="AO174" s="5" t="n">
        <v>0</v>
      </c>
      <c r="AP174" s="5" t="n">
        <v>-148680</v>
      </c>
      <c r="AQ174" s="3" t="inlineStr"/>
    </row>
    <row r="175">
      <c r="A175" s="3" t="inlineStr">
        <is>
          <t>173</t>
        </is>
      </c>
      <c r="B175" s="3" t="inlineStr">
        <is>
          <t>NGS 260176</t>
        </is>
      </c>
      <c r="C175" s="4" t="n">
        <v>46160</v>
      </c>
      <c r="D175" s="3" t="inlineStr">
        <is>
          <t>May- 2026</t>
        </is>
      </c>
      <c r="E175" s="4" t="n">
        <v>46162</v>
      </c>
      <c r="F175" s="3" t="inlineStr">
        <is>
          <t>Sudharson Narayanan</t>
        </is>
      </c>
      <c r="G175" s="3" t="inlineStr">
        <is>
          <t>Symbiont Life Sciences</t>
        </is>
      </c>
      <c r="H175" s="3" t="inlineStr">
        <is>
          <t>Symbiont Life Sciences</t>
        </is>
      </c>
      <c r="I175" s="3" t="inlineStr">
        <is>
          <t>symbiontcs@gmail.com</t>
        </is>
      </c>
      <c r="J175" s="3" t="inlineStr">
        <is>
          <t>8838222756</t>
        </is>
      </c>
      <c r="K175" s="3" t="inlineStr">
        <is>
          <t>16S Rrna Metagenome V3-V4 Sequencing &amp; Analysis On Illumina Platforms</t>
        </is>
      </c>
      <c r="L175" s="3" t="inlineStr">
        <is>
          <t>Env (Oral)</t>
        </is>
      </c>
      <c r="M175" s="3" t="inlineStr">
        <is>
          <t>16S Seq</t>
        </is>
      </c>
      <c r="N175" s="3" t="inlineStr">
        <is>
          <t>With Analysis</t>
        </is>
      </c>
      <c r="O175" s="3" t="n">
        <v>8</v>
      </c>
      <c r="P175" s="3" t="inlineStr">
        <is>
          <t>1,00,000 reads/sample</t>
        </is>
      </c>
      <c r="Q175" s="3" t="inlineStr"/>
      <c r="R175" s="3" t="n">
        <v>0</v>
      </c>
      <c r="S175" s="3" t="n">
        <v>6000</v>
      </c>
      <c r="T175" s="5" t="n">
        <v>48000</v>
      </c>
      <c r="U175" s="5" t="n">
        <v>8640</v>
      </c>
      <c r="V175" s="5" t="n">
        <v>56640</v>
      </c>
      <c r="W175" s="3" t="inlineStr">
        <is>
          <t>UG/NGS/TP/2303214R2</t>
        </is>
      </c>
      <c r="X175" s="3" t="inlineStr">
        <is>
          <t>Pugalendhi</t>
        </is>
      </c>
      <c r="Y175" s="3" t="inlineStr">
        <is>
          <t>South</t>
        </is>
      </c>
      <c r="Z175" s="3" t="inlineStr">
        <is>
          <t>Chennai</t>
        </is>
      </c>
      <c r="AA175" s="3" t="n">
        <v>8</v>
      </c>
      <c r="AB175" s="3" t="n">
        <v>0</v>
      </c>
      <c r="AC175" s="4" t="n">
        <v>46171</v>
      </c>
      <c r="AD175" s="3" t="n">
        <v>9</v>
      </c>
      <c r="AE175" s="3" t="inlineStr">
        <is>
          <t>16s Batch -35</t>
        </is>
      </c>
      <c r="AF175" s="3" t="inlineStr"/>
      <c r="AG175" s="4" t="n">
        <v>46212</v>
      </c>
      <c r="AH175" s="3" t="inlineStr"/>
      <c r="AI175" s="3" t="inlineStr"/>
      <c r="AJ175" s="3" t="inlineStr">
        <is>
          <t xml:space="preserve"> Project Closure</t>
        </is>
      </c>
      <c r="AK175" s="5" t="n">
        <v>48000</v>
      </c>
      <c r="AL175" s="5" t="n">
        <v>8640</v>
      </c>
      <c r="AM175" s="5" t="n">
        <v>56640</v>
      </c>
      <c r="AN175" s="3" t="inlineStr"/>
      <c r="AO175" s="5" t="n">
        <v>0</v>
      </c>
      <c r="AP175" s="5" t="n">
        <v>-56640</v>
      </c>
      <c r="AQ175" s="3" t="inlineStr"/>
    </row>
    <row r="176">
      <c r="A176" s="3" t="inlineStr">
        <is>
          <t>174</t>
        </is>
      </c>
      <c r="B176" s="3" t="inlineStr">
        <is>
          <t>NGS 260177</t>
        </is>
      </c>
      <c r="C176" s="4" t="n">
        <v>46162</v>
      </c>
      <c r="D176" s="3" t="inlineStr">
        <is>
          <t>May- 2026</t>
        </is>
      </c>
      <c r="E176" s="4" t="n">
        <v>46162</v>
      </c>
      <c r="F176" s="3" t="inlineStr">
        <is>
          <t>Dr. Aparna Sharma</t>
        </is>
      </c>
      <c r="G176" s="3" t="inlineStr">
        <is>
          <t>Aiims - Delhi</t>
        </is>
      </c>
      <c r="H176" s="3" t="inlineStr">
        <is>
          <t>Aiims - Delhi</t>
        </is>
      </c>
      <c r="I176" s="3" t="inlineStr">
        <is>
          <t>monikachettri.aiims@gmail.com</t>
        </is>
      </c>
      <c r="J176" s="3" t="inlineStr">
        <is>
          <t>7085151778/ 84488 15621</t>
        </is>
      </c>
      <c r="K176" s="3" t="inlineStr">
        <is>
          <t>Whole Exome Sequencing On Illumina Novaseq X Plus Platform</t>
        </is>
      </c>
      <c r="L176" s="3" t="inlineStr">
        <is>
          <t>DNA</t>
        </is>
      </c>
      <c r="M176" s="3" t="inlineStr">
        <is>
          <t>Wes Seq</t>
        </is>
      </c>
      <c r="N176" s="3" t="inlineStr">
        <is>
          <t xml:space="preserve">Without Analysis </t>
        </is>
      </c>
      <c r="O176" s="3" t="n">
        <v>7</v>
      </c>
      <c r="P176" s="3" t="inlineStr">
        <is>
          <t>8-10 GB/Sample</t>
        </is>
      </c>
      <c r="Q176" s="3" t="n">
        <v>10</v>
      </c>
      <c r="R176" s="3" t="n">
        <v>70</v>
      </c>
      <c r="S176" s="3" t="n">
        <v>9000</v>
      </c>
      <c r="T176" s="5" t="n">
        <v>63000</v>
      </c>
      <c r="U176" s="5" t="n">
        <v>0</v>
      </c>
      <c r="V176" s="5" t="n">
        <v>63000</v>
      </c>
      <c r="W176" s="3" t="inlineStr">
        <is>
          <t>UG/NGS/TP/2603593</t>
        </is>
      </c>
      <c r="X176" s="3" t="inlineStr">
        <is>
          <t xml:space="preserve">Harsh </t>
        </is>
      </c>
      <c r="Y176" s="3" t="inlineStr">
        <is>
          <t>North</t>
        </is>
      </c>
      <c r="Z176" s="3" t="inlineStr">
        <is>
          <t>New Delhi</t>
        </is>
      </c>
      <c r="AA176" s="3" t="n">
        <v>7</v>
      </c>
      <c r="AB176" s="3" t="n">
        <v>0</v>
      </c>
      <c r="AC176" s="4" t="n">
        <v>46165</v>
      </c>
      <c r="AD176" s="3" t="n">
        <v>3</v>
      </c>
      <c r="AE176" s="3" t="inlineStr">
        <is>
          <t>131 (1 sample Fail)</t>
        </is>
      </c>
      <c r="AF176" s="3" t="inlineStr"/>
      <c r="AG176" s="3" t="inlineStr"/>
      <c r="AH176" s="3" t="inlineStr"/>
      <c r="AI176" s="3" t="inlineStr"/>
      <c r="AJ176" s="3" t="inlineStr"/>
      <c r="AK176" s="5" t="n">
        <v>63000</v>
      </c>
      <c r="AL176" s="5" t="n">
        <v>11340</v>
      </c>
      <c r="AM176" s="5" t="n">
        <v>74340</v>
      </c>
      <c r="AN176" s="3" t="inlineStr"/>
      <c r="AO176" s="5" t="n">
        <v>0</v>
      </c>
      <c r="AP176" s="5" t="n">
        <v>-74340</v>
      </c>
      <c r="AQ176" s="3" t="inlineStr"/>
    </row>
    <row r="177">
      <c r="A177" s="3" t="inlineStr">
        <is>
          <t>175</t>
        </is>
      </c>
      <c r="B177" s="3" t="inlineStr">
        <is>
          <t>NGS 260178</t>
        </is>
      </c>
      <c r="C177" s="4" t="n">
        <v>46162</v>
      </c>
      <c r="D177" s="3" t="inlineStr">
        <is>
          <t>May- 2026</t>
        </is>
      </c>
      <c r="E177" s="4" t="n">
        <v>46162</v>
      </c>
      <c r="F177" s="3" t="inlineStr">
        <is>
          <t>Dr. Aparna Sharma</t>
        </is>
      </c>
      <c r="G177" s="3" t="inlineStr">
        <is>
          <t>Aiims - Delhi</t>
        </is>
      </c>
      <c r="H177" s="3" t="inlineStr">
        <is>
          <t>Aiims - Delhi</t>
        </is>
      </c>
      <c r="I177" s="3" t="inlineStr">
        <is>
          <t>monikachettri.aiims@gmail.com</t>
        </is>
      </c>
      <c r="J177" s="3" t="inlineStr">
        <is>
          <t>7085151778/ 84488 15621</t>
        </is>
      </c>
      <c r="K177" s="3" t="inlineStr">
        <is>
          <t>Whole Exome Sequencing On Illumina Novaseq X Plus Platform</t>
        </is>
      </c>
      <c r="L177" s="3" t="inlineStr">
        <is>
          <t>DNA</t>
        </is>
      </c>
      <c r="M177" s="3" t="inlineStr">
        <is>
          <t>Wes Seq</t>
        </is>
      </c>
      <c r="N177" s="3" t="inlineStr">
        <is>
          <t xml:space="preserve">Without Analysis </t>
        </is>
      </c>
      <c r="O177" s="3" t="n">
        <v>2</v>
      </c>
      <c r="P177" s="3" t="inlineStr">
        <is>
          <t>25 GB/Sample (500X)</t>
        </is>
      </c>
      <c r="Q177" s="3" t="n">
        <v>25</v>
      </c>
      <c r="R177" s="3" t="n">
        <v>50</v>
      </c>
      <c r="S177" s="3" t="n">
        <v>19000</v>
      </c>
      <c r="T177" s="5" t="n">
        <v>38000</v>
      </c>
      <c r="U177" s="5" t="n">
        <v>0</v>
      </c>
      <c r="V177" s="5" t="n">
        <v>38000</v>
      </c>
      <c r="W177" s="3" t="inlineStr">
        <is>
          <t>UG/NGS/TP/2603592</t>
        </is>
      </c>
      <c r="X177" s="3" t="inlineStr">
        <is>
          <t xml:space="preserve">Harsh </t>
        </is>
      </c>
      <c r="Y177" s="3" t="inlineStr">
        <is>
          <t>North</t>
        </is>
      </c>
      <c r="Z177" s="3" t="inlineStr">
        <is>
          <t>New Delhi</t>
        </is>
      </c>
      <c r="AA177" s="3" t="n">
        <v>2</v>
      </c>
      <c r="AB177" s="3" t="n">
        <v>0</v>
      </c>
      <c r="AC177" s="4" t="n">
        <v>46165</v>
      </c>
      <c r="AD177" s="3" t="n">
        <v>3</v>
      </c>
      <c r="AE177" s="3" t="inlineStr">
        <is>
          <t>131</t>
        </is>
      </c>
      <c r="AF177" s="3" t="inlineStr"/>
      <c r="AG177" s="3" t="inlineStr"/>
      <c r="AH177" s="3" t="inlineStr"/>
      <c r="AI177" s="3" t="inlineStr"/>
      <c r="AJ177" s="3" t="inlineStr"/>
      <c r="AK177" s="5" t="n">
        <v>38000</v>
      </c>
      <c r="AL177" s="5" t="n">
        <v>6840</v>
      </c>
      <c r="AM177" s="5" t="n">
        <v>44840</v>
      </c>
      <c r="AN177" s="3" t="inlineStr"/>
      <c r="AO177" s="5" t="n">
        <v>0</v>
      </c>
      <c r="AP177" s="5" t="n">
        <v>-44840</v>
      </c>
      <c r="AQ177" s="3" t="inlineStr"/>
    </row>
    <row r="178">
      <c r="A178" s="3" t="inlineStr">
        <is>
          <t>176</t>
        </is>
      </c>
      <c r="B178" s="3" t="inlineStr">
        <is>
          <t>NGS 260179</t>
        </is>
      </c>
      <c r="C178" s="4" t="n">
        <v>46162</v>
      </c>
      <c r="D178" s="3" t="inlineStr">
        <is>
          <t>May- 2026</t>
        </is>
      </c>
      <c r="E178" s="4" t="n">
        <v>46164</v>
      </c>
      <c r="F178" s="3" t="inlineStr">
        <is>
          <t>Dr.Nishat</t>
        </is>
      </c>
      <c r="G178" s="3" t="inlineStr">
        <is>
          <t>Biologia Research</t>
        </is>
      </c>
      <c r="H178" s="3" t="inlineStr">
        <is>
          <t>Biologia Research</t>
        </is>
      </c>
      <c r="I178" s="3" t="inlineStr">
        <is>
          <t>nishat@biologia.co.in , ngs@biologia.co.in, director@biologia.co.in</t>
        </is>
      </c>
      <c r="J178" s="3" t="inlineStr">
        <is>
          <t>8671800000</t>
        </is>
      </c>
      <c r="K178" s="3" t="inlineStr">
        <is>
          <t>Cdna Sequencing On Illumina Platform</t>
        </is>
      </c>
      <c r="L178" s="3" t="inlineStr">
        <is>
          <t>Cdna</t>
        </is>
      </c>
      <c r="M178" s="3" t="inlineStr">
        <is>
          <t>Cdna Seq</t>
        </is>
      </c>
      <c r="N178" s="3" t="inlineStr">
        <is>
          <t xml:space="preserve">Without Analysis </t>
        </is>
      </c>
      <c r="O178" s="3" t="n">
        <v>14</v>
      </c>
      <c r="P178" s="3" t="inlineStr">
        <is>
          <t>18 GB/sample</t>
        </is>
      </c>
      <c r="Q178" s="3" t="n">
        <v>18</v>
      </c>
      <c r="R178" s="3" t="n">
        <v>252</v>
      </c>
      <c r="S178" s="3" t="n">
        <v>9900</v>
      </c>
      <c r="T178" s="5" t="n">
        <v>138600</v>
      </c>
      <c r="U178" s="5" t="n">
        <v>0</v>
      </c>
      <c r="V178" s="5" t="n">
        <v>138600</v>
      </c>
      <c r="W178" s="3" t="inlineStr">
        <is>
          <t>UG/NGS/TP/2605677</t>
        </is>
      </c>
      <c r="X178" s="3" t="inlineStr">
        <is>
          <t>Direct</t>
        </is>
      </c>
      <c r="Y178" s="3" t="inlineStr">
        <is>
          <t>North</t>
        </is>
      </c>
      <c r="Z178" s="3" t="inlineStr">
        <is>
          <t>Karnal</t>
        </is>
      </c>
      <c r="AA178" s="3" t="n">
        <v>14</v>
      </c>
      <c r="AB178" s="3" t="n">
        <v>0</v>
      </c>
      <c r="AC178" s="4" t="n">
        <v>46165</v>
      </c>
      <c r="AD178" s="3" t="n">
        <v>1</v>
      </c>
      <c r="AE178" s="3" t="inlineStr">
        <is>
          <t>130 &amp; 132</t>
        </is>
      </c>
      <c r="AF178" s="3" t="inlineStr"/>
      <c r="AG178" s="3" t="inlineStr"/>
      <c r="AH178" s="3" t="inlineStr"/>
      <c r="AI178" s="3" t="inlineStr"/>
      <c r="AJ178" s="3" t="inlineStr"/>
      <c r="AK178" s="5" t="n">
        <v>138600</v>
      </c>
      <c r="AL178" s="5" t="n">
        <v>24948</v>
      </c>
      <c r="AM178" s="5" t="n">
        <v>163548</v>
      </c>
      <c r="AN178" s="3" t="inlineStr"/>
      <c r="AO178" s="5" t="n">
        <v>0</v>
      </c>
      <c r="AP178" s="5" t="n">
        <v>-163548</v>
      </c>
      <c r="AQ178" s="3" t="inlineStr"/>
    </row>
    <row r="179">
      <c r="A179" s="3" t="inlineStr">
        <is>
          <t>177</t>
        </is>
      </c>
      <c r="B179" s="3" t="inlineStr">
        <is>
          <t>NGS 260180</t>
        </is>
      </c>
      <c r="C179" s="4" t="n">
        <v>46162</v>
      </c>
      <c r="D179" s="3" t="inlineStr">
        <is>
          <t>May- 2026</t>
        </is>
      </c>
      <c r="E179" s="4" t="n">
        <v>46162</v>
      </c>
      <c r="F179" s="3" t="inlineStr">
        <is>
          <t>Dr. Juhi Tayal</t>
        </is>
      </c>
      <c r="G179" s="3" t="inlineStr">
        <is>
          <t>Rgcirc, Delhi</t>
        </is>
      </c>
      <c r="H179" s="3" t="inlineStr">
        <is>
          <t>Rgcirc, Delhi</t>
        </is>
      </c>
      <c r="I179" s="3" t="inlineStr">
        <is>
          <t>juhitayal76@gmail.com</t>
        </is>
      </c>
      <c r="J179" s="3" t="inlineStr"/>
      <c r="K179" s="3" t="inlineStr">
        <is>
          <t>Mrna Sequencing On Illumina Novaseq X Plus Platform</t>
        </is>
      </c>
      <c r="L179" s="3" t="inlineStr">
        <is>
          <t>Human Tissue</t>
        </is>
      </c>
      <c r="M179" s="3" t="inlineStr">
        <is>
          <t>RNA Seq</t>
        </is>
      </c>
      <c r="N179" s="3" t="inlineStr">
        <is>
          <t>Without Analysis</t>
        </is>
      </c>
      <c r="O179" s="3" t="n">
        <v>50</v>
      </c>
      <c r="P179" s="3" t="inlineStr">
        <is>
          <t>8-9 GB/Sample</t>
        </is>
      </c>
      <c r="Q179" s="3" t="n">
        <v>9</v>
      </c>
      <c r="R179" s="3" t="n">
        <v>450</v>
      </c>
      <c r="S179" s="3" t="n">
        <v>11000</v>
      </c>
      <c r="T179" s="5" t="n">
        <v>550000</v>
      </c>
      <c r="U179" s="5" t="n">
        <v>99000</v>
      </c>
      <c r="V179" s="5" t="n">
        <v>649000</v>
      </c>
      <c r="W179" s="3" t="inlineStr">
        <is>
          <t>UG/NGS/TP/2509140R1</t>
        </is>
      </c>
      <c r="X179" s="3" t="inlineStr">
        <is>
          <t xml:space="preserve">Harsh </t>
        </is>
      </c>
      <c r="Y179" s="3" t="inlineStr">
        <is>
          <t>Delhi</t>
        </is>
      </c>
      <c r="Z179" s="3" t="inlineStr">
        <is>
          <t>Delhi</t>
        </is>
      </c>
      <c r="AA179" s="3" t="n">
        <v>33</v>
      </c>
      <c r="AB179" s="3" t="n">
        <v>17</v>
      </c>
      <c r="AC179" s="4" t="n">
        <v>46175</v>
      </c>
      <c r="AD179" s="3" t="n">
        <v>13</v>
      </c>
      <c r="AE179" s="3" t="inlineStr">
        <is>
          <t>135 &amp; 136</t>
        </is>
      </c>
      <c r="AF179" s="3" t="inlineStr"/>
      <c r="AG179" s="3" t="inlineStr"/>
      <c r="AH179" s="3" t="inlineStr"/>
      <c r="AI179" s="3" t="inlineStr"/>
      <c r="AJ179" s="3" t="inlineStr"/>
      <c r="AK179" s="5" t="n">
        <v>363000</v>
      </c>
      <c r="AL179" s="5" t="n">
        <v>65340</v>
      </c>
      <c r="AM179" s="5" t="n">
        <v>428340</v>
      </c>
      <c r="AN179" s="3" t="inlineStr"/>
      <c r="AO179" s="5" t="n">
        <v>0</v>
      </c>
      <c r="AP179" s="5" t="n">
        <v>-428340</v>
      </c>
      <c r="AQ179" s="3" t="inlineStr"/>
    </row>
    <row r="180">
      <c r="A180" s="3" t="inlineStr">
        <is>
          <t>178</t>
        </is>
      </c>
      <c r="B180" s="3" t="inlineStr">
        <is>
          <t>NGS 260181</t>
        </is>
      </c>
      <c r="C180" s="4" t="n">
        <v>46163</v>
      </c>
      <c r="D180" s="3" t="inlineStr">
        <is>
          <t>May- 2026</t>
        </is>
      </c>
      <c r="E180" s="4" t="n">
        <v>46164</v>
      </c>
      <c r="F180" s="3" t="inlineStr">
        <is>
          <t>Dr.Chozhavel Rajanathan</t>
        </is>
      </c>
      <c r="G180" s="3" t="inlineStr">
        <is>
          <t>Intas Pharmaceuticals</t>
        </is>
      </c>
      <c r="H180" s="3" t="inlineStr">
        <is>
          <t>Intas Pharmaceuticals</t>
        </is>
      </c>
      <c r="I180" s="3" t="inlineStr">
        <is>
          <t>Shreelekha_Dutta@intaspharma.com</t>
        </is>
      </c>
      <c r="J180" s="3" t="inlineStr"/>
      <c r="K180" s="3" t="inlineStr">
        <is>
          <t>Whole Genome Sequencing On Illumina Novaseq X Plus Platform</t>
        </is>
      </c>
      <c r="L180" s="3" t="inlineStr">
        <is>
          <t>DNA</t>
        </is>
      </c>
      <c r="M180" s="3" t="inlineStr">
        <is>
          <t>Wgs Seq</t>
        </is>
      </c>
      <c r="N180" s="3" t="inlineStr">
        <is>
          <t>With Analysis</t>
        </is>
      </c>
      <c r="O180" s="3" t="n">
        <v>3</v>
      </c>
      <c r="P180" s="3" t="inlineStr">
        <is>
          <t>1 GB/sample</t>
        </is>
      </c>
      <c r="Q180" s="3" t="n">
        <v>1</v>
      </c>
      <c r="R180" s="3" t="n">
        <v>3</v>
      </c>
      <c r="S180" s="3" t="n">
        <v>14000</v>
      </c>
      <c r="T180" s="5" t="n">
        <v>42000</v>
      </c>
      <c r="U180" s="5" t="n">
        <v>7560</v>
      </c>
      <c r="V180" s="5" t="n">
        <v>49560</v>
      </c>
      <c r="W180" s="3" t="inlineStr"/>
      <c r="X180" s="3" t="inlineStr">
        <is>
          <t>Direct</t>
        </is>
      </c>
      <c r="Y180" s="3" t="inlineStr">
        <is>
          <t>We</t>
        </is>
      </c>
      <c r="Z180" s="3" t="inlineStr">
        <is>
          <t>Ahme</t>
        </is>
      </c>
      <c r="AA180" s="3" t="n">
        <v>3</v>
      </c>
      <c r="AB180" s="3" t="n">
        <v>0</v>
      </c>
      <c r="AC180" s="4" t="n">
        <v>46165</v>
      </c>
      <c r="AD180" s="3" t="n">
        <v>1</v>
      </c>
      <c r="AE180" s="3" t="inlineStr">
        <is>
          <t>130</t>
        </is>
      </c>
      <c r="AF180" s="3" t="inlineStr"/>
      <c r="AG180" s="4" t="n">
        <v>46199</v>
      </c>
      <c r="AH180" s="3" t="inlineStr"/>
      <c r="AI180" s="3" t="inlineStr"/>
      <c r="AJ180" s="3" t="inlineStr">
        <is>
          <t xml:space="preserve"> Project Closure</t>
        </is>
      </c>
      <c r="AK180" s="5" t="n">
        <v>42000</v>
      </c>
      <c r="AL180" s="5" t="n">
        <v>7560</v>
      </c>
      <c r="AM180" s="5" t="n">
        <v>49560</v>
      </c>
      <c r="AN180" s="3" t="inlineStr"/>
      <c r="AO180" s="5" t="n">
        <v>0</v>
      </c>
      <c r="AP180" s="5" t="n">
        <v>-49560</v>
      </c>
      <c r="AQ180" s="3" t="inlineStr"/>
    </row>
    <row r="181">
      <c r="A181" s="3" t="inlineStr">
        <is>
          <t>179</t>
        </is>
      </c>
      <c r="B181" s="3" t="inlineStr">
        <is>
          <t>NGS 260182</t>
        </is>
      </c>
      <c r="C181" s="4" t="n">
        <v>46163</v>
      </c>
      <c r="D181" s="3" t="inlineStr">
        <is>
          <t>May- 2026</t>
        </is>
      </c>
      <c r="E181" s="4" t="n">
        <v>46164</v>
      </c>
      <c r="F181" s="3" t="inlineStr">
        <is>
          <t>Sudharson Narayanan</t>
        </is>
      </c>
      <c r="G181" s="3" t="inlineStr">
        <is>
          <t>Symbiont Life Sciences</t>
        </is>
      </c>
      <c r="H181" s="3" t="inlineStr">
        <is>
          <t>Symbiont Life Sciences</t>
        </is>
      </c>
      <c r="I181" s="3" t="inlineStr">
        <is>
          <t>symbiontcs@gmail.com</t>
        </is>
      </c>
      <c r="J181" s="3" t="inlineStr">
        <is>
          <t>8838222756</t>
        </is>
      </c>
      <c r="K181" s="3" t="inlineStr">
        <is>
          <t>18S RNA Sequencing &amp; Analysis On Illumina Platforms</t>
        </is>
      </c>
      <c r="L181" s="3" t="inlineStr">
        <is>
          <t>Env</t>
        </is>
      </c>
      <c r="M181" s="3" t="inlineStr">
        <is>
          <t>18S RNA Seq</t>
        </is>
      </c>
      <c r="N181" s="3" t="inlineStr">
        <is>
          <t>With Analysis</t>
        </is>
      </c>
      <c r="O181" s="3" t="n">
        <v>4</v>
      </c>
      <c r="P181" s="3" t="inlineStr">
        <is>
          <t>60,000 reads/sample</t>
        </is>
      </c>
      <c r="Q181" s="3" t="inlineStr"/>
      <c r="R181" s="3" t="n">
        <v>0</v>
      </c>
      <c r="S181" s="3" t="n">
        <v>6500</v>
      </c>
      <c r="T181" s="5" t="n">
        <v>26000</v>
      </c>
      <c r="U181" s="5" t="n">
        <v>4680</v>
      </c>
      <c r="V181" s="5" t="n">
        <v>30680</v>
      </c>
      <c r="W181" s="3" t="inlineStr">
        <is>
          <t>UG/NGS/TP/2407847R1</t>
        </is>
      </c>
      <c r="X181" s="3" t="inlineStr">
        <is>
          <t>Pugalendhi</t>
        </is>
      </c>
      <c r="Y181" s="3" t="inlineStr">
        <is>
          <t>South</t>
        </is>
      </c>
      <c r="Z181" s="3" t="inlineStr">
        <is>
          <t>Chennai</t>
        </is>
      </c>
      <c r="AA181" s="3" t="n">
        <v>4</v>
      </c>
      <c r="AB181" s="3" t="n">
        <v>0</v>
      </c>
      <c r="AC181" s="4" t="n">
        <v>46170</v>
      </c>
      <c r="AD181" s="3" t="n">
        <v>6</v>
      </c>
      <c r="AE181" s="3" t="inlineStr">
        <is>
          <t>16s Batch -35</t>
        </is>
      </c>
      <c r="AF181" s="3" t="inlineStr"/>
      <c r="AG181" s="4" t="n">
        <v>46205</v>
      </c>
      <c r="AH181" s="3" t="inlineStr"/>
      <c r="AI181" s="3" t="inlineStr"/>
      <c r="AJ181" s="3" t="inlineStr">
        <is>
          <t xml:space="preserve"> Project Closure</t>
        </is>
      </c>
      <c r="AK181" s="5" t="n">
        <v>26000</v>
      </c>
      <c r="AL181" s="5" t="n">
        <v>4680</v>
      </c>
      <c r="AM181" s="5" t="n">
        <v>30680</v>
      </c>
      <c r="AN181" s="3" t="inlineStr"/>
      <c r="AO181" s="5" t="n">
        <v>0</v>
      </c>
      <c r="AP181" s="5" t="n">
        <v>-30680</v>
      </c>
      <c r="AQ181" s="3" t="inlineStr"/>
    </row>
    <row r="182">
      <c r="A182" s="3" t="inlineStr">
        <is>
          <t>180</t>
        </is>
      </c>
      <c r="B182" s="3" t="inlineStr">
        <is>
          <t>NGS 260183</t>
        </is>
      </c>
      <c r="C182" s="4" t="n">
        <v>46164</v>
      </c>
      <c r="D182" s="3" t="inlineStr">
        <is>
          <t>May- 2026</t>
        </is>
      </c>
      <c r="E182" s="4" t="n">
        <v>46202</v>
      </c>
      <c r="F182" s="3" t="inlineStr">
        <is>
          <t>Dr. Sayaji Mehetre</t>
        </is>
      </c>
      <c r="G182" s="3" t="inlineStr">
        <is>
          <t>Barc</t>
        </is>
      </c>
      <c r="H182" s="3" t="inlineStr">
        <is>
          <t>Barc</t>
        </is>
      </c>
      <c r="I182" s="3" t="inlineStr">
        <is>
          <t>smehetre@gmail.com/akshatabarc17@gmail.com</t>
        </is>
      </c>
      <c r="J182" s="3" t="inlineStr">
        <is>
          <t>02269293830/02269290369</t>
        </is>
      </c>
      <c r="K182" s="3" t="inlineStr">
        <is>
          <t>Whole Metagenome Sequencing &amp; Analysis On Illumina Novaseq X Plus Platform</t>
        </is>
      </c>
      <c r="L182" s="3" t="inlineStr">
        <is>
          <t>Water</t>
        </is>
      </c>
      <c r="M182" s="3" t="inlineStr">
        <is>
          <t>Wms</t>
        </is>
      </c>
      <c r="N182" s="3" t="inlineStr">
        <is>
          <t>With Analysis</t>
        </is>
      </c>
      <c r="O182" s="3" t="n">
        <v>2</v>
      </c>
      <c r="P182" s="3" t="inlineStr">
        <is>
          <t>5-6 GB / sample</t>
        </is>
      </c>
      <c r="Q182" s="3" t="inlineStr"/>
      <c r="R182" s="3" t="n">
        <v>0</v>
      </c>
      <c r="S182" s="3" t="inlineStr"/>
      <c r="T182" s="5" t="n">
        <v>0</v>
      </c>
      <c r="U182" s="5" t="n">
        <v>0</v>
      </c>
      <c r="V182" s="5" t="n">
        <v>0</v>
      </c>
      <c r="W182" s="3" t="inlineStr"/>
      <c r="X182" s="3" t="inlineStr"/>
      <c r="Y182" s="3" t="inlineStr">
        <is>
          <t>N/A</t>
        </is>
      </c>
      <c r="Z182" s="3" t="inlineStr">
        <is>
          <t>N/A</t>
        </is>
      </c>
      <c r="AA182" s="3" t="n">
        <v>2</v>
      </c>
      <c r="AB182" s="3" t="n">
        <v>0</v>
      </c>
      <c r="AC182" s="4" t="n">
        <v>46207</v>
      </c>
      <c r="AD182" s="3" t="n">
        <v>5</v>
      </c>
      <c r="AE182" s="3" t="inlineStr">
        <is>
          <t>141</t>
        </is>
      </c>
      <c r="AF182" s="3" t="inlineStr"/>
      <c r="AG182" s="3" t="inlineStr"/>
      <c r="AH182" s="3" t="inlineStr"/>
      <c r="AI182" s="3" t="inlineStr"/>
      <c r="AJ182" s="3" t="inlineStr"/>
      <c r="AK182" s="5" t="n">
        <v>0</v>
      </c>
      <c r="AL182" s="5" t="n">
        <v>0</v>
      </c>
      <c r="AM182" s="5" t="n">
        <v>0</v>
      </c>
      <c r="AN182" s="3" t="inlineStr"/>
      <c r="AO182" s="5" t="n">
        <v>0</v>
      </c>
      <c r="AP182" s="5" t="n">
        <v>0</v>
      </c>
      <c r="AQ182" s="3" t="inlineStr"/>
    </row>
    <row r="183">
      <c r="A183" s="3" t="inlineStr">
        <is>
          <t>181</t>
        </is>
      </c>
      <c r="B183" s="3" t="inlineStr">
        <is>
          <t>NGS 260184</t>
        </is>
      </c>
      <c r="C183" s="4" t="n">
        <v>46164</v>
      </c>
      <c r="D183" s="3" t="inlineStr">
        <is>
          <t>May- 2026</t>
        </is>
      </c>
      <c r="E183" s="3" t="inlineStr"/>
      <c r="F183" s="3" t="inlineStr">
        <is>
          <t>N/A</t>
        </is>
      </c>
      <c r="G183" s="3" t="inlineStr">
        <is>
          <t>N/A</t>
        </is>
      </c>
      <c r="H183" s="3" t="inlineStr">
        <is>
          <t>Barc</t>
        </is>
      </c>
      <c r="I183" s="3" t="inlineStr">
        <is>
          <t>smehetre@gmail.com/akshatabarc17@gmail.com</t>
        </is>
      </c>
      <c r="J183" s="3" t="inlineStr">
        <is>
          <t>02269293830/02269290369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/>
      <c r="O183" s="3" t="n">
        <v>0</v>
      </c>
      <c r="P183" s="3" t="inlineStr"/>
      <c r="Q183" s="3" t="inlineStr"/>
      <c r="R183" s="3" t="n">
        <v>0</v>
      </c>
      <c r="S183" s="3" t="inlineStr"/>
      <c r="T183" s="5" t="n">
        <v>0</v>
      </c>
      <c r="U183" s="5" t="n">
        <v>0</v>
      </c>
      <c r="V183" s="5" t="n">
        <v>0</v>
      </c>
      <c r="W183" s="3" t="inlineStr"/>
      <c r="X183" s="3" t="inlineStr"/>
      <c r="Y183" s="3" t="inlineStr">
        <is>
          <t>N/A</t>
        </is>
      </c>
      <c r="Z183" s="3" t="inlineStr">
        <is>
          <t>N/A</t>
        </is>
      </c>
      <c r="AA183" s="3" t="inlineStr"/>
      <c r="AB183" s="3" t="inlineStr"/>
      <c r="AC183" s="3" t="inlineStr"/>
      <c r="AD183" s="3" t="inlineStr"/>
      <c r="AE183" s="3" t="inlineStr"/>
      <c r="AF183" s="3" t="inlineStr"/>
      <c r="AG183" s="3" t="inlineStr"/>
      <c r="AH183" s="3" t="inlineStr"/>
      <c r="AI183" s="3" t="inlineStr"/>
      <c r="AJ183" s="3" t="inlineStr"/>
      <c r="AK183" s="5" t="n">
        <v>0</v>
      </c>
      <c r="AL183" s="5" t="n">
        <v>0</v>
      </c>
      <c r="AM183" s="5" t="n">
        <v>0</v>
      </c>
      <c r="AN183" s="3" t="inlineStr"/>
      <c r="AO183" s="5" t="n">
        <v>0</v>
      </c>
      <c r="AP183" s="5" t="n">
        <v>0</v>
      </c>
      <c r="AQ183" s="3" t="inlineStr"/>
    </row>
    <row r="184">
      <c r="A184" s="3" t="inlineStr">
        <is>
          <t>182</t>
        </is>
      </c>
      <c r="B184" s="3" t="inlineStr">
        <is>
          <t>NGS 260185</t>
        </is>
      </c>
      <c r="C184" s="4" t="n">
        <v>46168</v>
      </c>
      <c r="D184" s="3" t="inlineStr">
        <is>
          <t>May- 2026</t>
        </is>
      </c>
      <c r="E184" s="4" t="n">
        <v>46168</v>
      </c>
      <c r="F184" s="3" t="inlineStr">
        <is>
          <t>Dr. Jyoti Vakhlu</t>
        </is>
      </c>
      <c r="G184" s="3" t="inlineStr">
        <is>
          <t>University Of Jammu</t>
        </is>
      </c>
      <c r="H184" s="3" t="inlineStr">
        <is>
          <t>Labdose</t>
        </is>
      </c>
      <c r="I184" s="3" t="inlineStr">
        <is>
          <t>tahirmdr@gmail.com/nitikasharma2022@gmail.com/ jyotimetagenomic@gmail.com</t>
        </is>
      </c>
      <c r="J184" s="3" t="inlineStr">
        <is>
          <t>9906099674/8899576506</t>
        </is>
      </c>
      <c r="K184" s="3" t="inlineStr">
        <is>
          <t>16S V3-V4 Metagenome Sequencing &amp; Analysis On Illumina Platform</t>
        </is>
      </c>
      <c r="L184" s="3" t="inlineStr">
        <is>
          <t>DNA</t>
        </is>
      </c>
      <c r="M184" s="3" t="inlineStr">
        <is>
          <t>16S Seq</t>
        </is>
      </c>
      <c r="N184" s="3" t="inlineStr">
        <is>
          <t>With Analysis</t>
        </is>
      </c>
      <c r="O184" s="3" t="n">
        <v>4</v>
      </c>
      <c r="P184" s="3" t="inlineStr">
        <is>
          <t>1,00,000-1,50,000 reads/sample</t>
        </is>
      </c>
      <c r="Q184" s="3" t="inlineStr"/>
      <c r="R184" s="3" t="n">
        <v>0</v>
      </c>
      <c r="S184" s="3" t="n">
        <v>6300</v>
      </c>
      <c r="T184" s="5" t="n">
        <v>25200</v>
      </c>
      <c r="U184" s="5" t="n">
        <v>4536</v>
      </c>
      <c r="V184" s="5" t="n">
        <v>29736</v>
      </c>
      <c r="W184" s="3" t="inlineStr"/>
      <c r="X184" s="3" t="inlineStr"/>
      <c r="Y184" s="3" t="inlineStr">
        <is>
          <t>N/A</t>
        </is>
      </c>
      <c r="Z184" s="3" t="inlineStr">
        <is>
          <t>N/A</t>
        </is>
      </c>
      <c r="AA184" s="3" t="n">
        <v>4</v>
      </c>
      <c r="AB184" s="3" t="n">
        <v>0</v>
      </c>
      <c r="AC184" s="4" t="n">
        <v>46171</v>
      </c>
      <c r="AD184" s="3" t="n">
        <v>3</v>
      </c>
      <c r="AE184" s="3" t="inlineStr">
        <is>
          <t>16s Batch -35</t>
        </is>
      </c>
      <c r="AF184" s="3" t="inlineStr"/>
      <c r="AG184" s="4" t="n">
        <v>46200</v>
      </c>
      <c r="AH184" s="3" t="inlineStr">
        <is>
          <t>UPL/GEN/2627/61</t>
        </is>
      </c>
      <c r="AI184" s="4" t="n">
        <v>46197</v>
      </c>
      <c r="AJ184" s="3" t="inlineStr">
        <is>
          <t xml:space="preserve"> Project Closure</t>
        </is>
      </c>
      <c r="AK184" s="5" t="n">
        <v>25200</v>
      </c>
      <c r="AL184" s="5" t="n">
        <v>4536</v>
      </c>
      <c r="AM184" s="5" t="n">
        <v>29736</v>
      </c>
      <c r="AN184" s="3" t="n">
        <v>22</v>
      </c>
      <c r="AO184" s="5" t="n">
        <v>0</v>
      </c>
      <c r="AP184" s="5" t="n">
        <v>-29736</v>
      </c>
      <c r="AQ184" s="3" t="inlineStr"/>
    </row>
    <row r="185">
      <c r="A185" s="3" t="inlineStr">
        <is>
          <t>183</t>
        </is>
      </c>
      <c r="B185" s="3" t="inlineStr">
        <is>
          <t>NGS 260186</t>
        </is>
      </c>
      <c r="C185" s="4" t="n">
        <v>46169</v>
      </c>
      <c r="D185" s="3" t="inlineStr">
        <is>
          <t>May- 2026</t>
        </is>
      </c>
      <c r="E185" s="4" t="n">
        <v>46169</v>
      </c>
      <c r="F185" s="3" t="inlineStr">
        <is>
          <t>Mr.Digil</t>
        </is>
      </c>
      <c r="G185" s="3" t="inlineStr">
        <is>
          <t>Geno Connect Services Private Limited</t>
        </is>
      </c>
      <c r="H185" s="3" t="inlineStr">
        <is>
          <t>Geno Connect Services Private Limited</t>
        </is>
      </c>
      <c r="I185" s="3" t="inlineStr">
        <is>
          <t>Genoconnect.pvt.ltd@gmail.com</t>
        </is>
      </c>
      <c r="J185" s="3" t="inlineStr">
        <is>
          <t>9400039514</t>
        </is>
      </c>
      <c r="K185" s="3" t="inlineStr">
        <is>
          <t>Low Pass Whole Genome Sequencing On Illumina Novaseq X Plus Platform</t>
        </is>
      </c>
      <c r="L185" s="3" t="inlineStr">
        <is>
          <t>Swab Samples</t>
        </is>
      </c>
      <c r="M185" s="3" t="inlineStr">
        <is>
          <t>Low Pass Wgs</t>
        </is>
      </c>
      <c r="N185" s="3" t="inlineStr">
        <is>
          <t xml:space="preserve">Without Analysis </t>
        </is>
      </c>
      <c r="O185" s="3" t="n">
        <v>1</v>
      </c>
      <c r="P185" s="3" t="inlineStr">
        <is>
          <t>15 GB/sample (5 X Coverage)</t>
        </is>
      </c>
      <c r="Q185" s="3" t="n">
        <v>15</v>
      </c>
      <c r="R185" s="3" t="n">
        <v>15</v>
      </c>
      <c r="S185" s="3" t="n">
        <v>8000</v>
      </c>
      <c r="T185" s="5" t="n">
        <v>8000</v>
      </c>
      <c r="U185" s="5" t="n">
        <v>1440</v>
      </c>
      <c r="V185" s="5" t="n">
        <v>9440</v>
      </c>
      <c r="W185" s="3" t="inlineStr">
        <is>
          <t>UG/NGS/TP/2512388R1</t>
        </is>
      </c>
      <c r="X185" s="3" t="inlineStr">
        <is>
          <t>Direct</t>
        </is>
      </c>
      <c r="Y185" s="3" t="inlineStr">
        <is>
          <t>South</t>
        </is>
      </c>
      <c r="Z185" s="3" t="inlineStr">
        <is>
          <t>Kozhikode</t>
        </is>
      </c>
      <c r="AA185" s="3" t="n">
        <v>1</v>
      </c>
      <c r="AB185" s="3" t="n">
        <v>0</v>
      </c>
      <c r="AC185" s="4" t="n">
        <v>46171</v>
      </c>
      <c r="AD185" s="3" t="n">
        <v>2</v>
      </c>
      <c r="AE185" s="3" t="inlineStr">
        <is>
          <t>130</t>
        </is>
      </c>
      <c r="AF185" s="3" t="inlineStr"/>
      <c r="AG185" s="3" t="inlineStr"/>
      <c r="AH185" s="3" t="inlineStr"/>
      <c r="AI185" s="3" t="inlineStr"/>
      <c r="AJ185" s="3" t="inlineStr"/>
      <c r="AK185" s="5" t="n">
        <v>8000</v>
      </c>
      <c r="AL185" s="5" t="n">
        <v>1440</v>
      </c>
      <c r="AM185" s="5" t="n">
        <v>9440</v>
      </c>
      <c r="AN185" s="3" t="inlineStr"/>
      <c r="AO185" s="5" t="n">
        <v>0</v>
      </c>
      <c r="AP185" s="5" t="n">
        <v>-9440</v>
      </c>
      <c r="AQ185" s="3" t="inlineStr"/>
    </row>
    <row r="186">
      <c r="A186" s="3" t="inlineStr">
        <is>
          <t>184</t>
        </is>
      </c>
      <c r="B186" s="3" t="inlineStr">
        <is>
          <t>NGS 260187</t>
        </is>
      </c>
      <c r="C186" s="4" t="n">
        <v>46169</v>
      </c>
      <c r="D186" s="3" t="inlineStr">
        <is>
          <t>May- 2026</t>
        </is>
      </c>
      <c r="E186" s="4" t="n">
        <v>46169</v>
      </c>
      <c r="F186" s="3" t="inlineStr">
        <is>
          <t>Sudharson Narayanan</t>
        </is>
      </c>
      <c r="G186" s="3" t="inlineStr">
        <is>
          <t>Symbiont Life Sciences</t>
        </is>
      </c>
      <c r="H186" s="3" t="inlineStr">
        <is>
          <t>Symbiont Life Sciences</t>
        </is>
      </c>
      <c r="I186" s="3" t="inlineStr">
        <is>
          <t>symbiontcs@gmail.com</t>
        </is>
      </c>
      <c r="J186" s="3" t="inlineStr">
        <is>
          <t>8838222756</t>
        </is>
      </c>
      <c r="K186" s="3" t="inlineStr">
        <is>
          <t>16S Rrna Metagenome V3-V4 Sequencing &amp; Analysis On Illumina Platforms</t>
        </is>
      </c>
      <c r="L186" s="3" t="inlineStr">
        <is>
          <t>Stool Swab</t>
        </is>
      </c>
      <c r="M186" s="3" t="inlineStr">
        <is>
          <t>16S V3-V4</t>
        </is>
      </c>
      <c r="N186" s="3" t="inlineStr">
        <is>
          <t xml:space="preserve">With Analysis </t>
        </is>
      </c>
      <c r="O186" s="3" t="n">
        <v>3</v>
      </c>
      <c r="P186" s="3" t="inlineStr">
        <is>
          <t>1,00,000 reads/sample</t>
        </is>
      </c>
      <c r="Q186" s="3" t="inlineStr"/>
      <c r="R186" s="3" t="n">
        <v>0</v>
      </c>
      <c r="S186" s="3" t="n">
        <v>6000</v>
      </c>
      <c r="T186" s="5" t="n">
        <v>18000</v>
      </c>
      <c r="U186" s="5" t="n">
        <v>3240</v>
      </c>
      <c r="V186" s="5" t="n">
        <v>21240</v>
      </c>
      <c r="W186" s="3" t="inlineStr">
        <is>
          <t>UG/NGS/TP/2303214R2</t>
        </is>
      </c>
      <c r="X186" s="3" t="inlineStr">
        <is>
          <t>Pugalendhi</t>
        </is>
      </c>
      <c r="Y186" s="3" t="inlineStr">
        <is>
          <t>South</t>
        </is>
      </c>
      <c r="Z186" s="3" t="inlineStr">
        <is>
          <t>Chennai</t>
        </is>
      </c>
      <c r="AA186" s="3" t="n">
        <v>3</v>
      </c>
      <c r="AB186" s="3" t="n">
        <v>0</v>
      </c>
      <c r="AC186" s="4" t="n">
        <v>46171</v>
      </c>
      <c r="AD186" s="3" t="n">
        <v>2</v>
      </c>
      <c r="AE186" s="3" t="inlineStr">
        <is>
          <t>16s Batch -35</t>
        </is>
      </c>
      <c r="AF186" s="3" t="inlineStr"/>
      <c r="AG186" s="4" t="n">
        <v>46200</v>
      </c>
      <c r="AH186" s="3" t="inlineStr"/>
      <c r="AI186" s="3" t="inlineStr"/>
      <c r="AJ186" s="3" t="inlineStr">
        <is>
          <t xml:space="preserve"> Project Closure</t>
        </is>
      </c>
      <c r="AK186" s="5" t="n">
        <v>18000</v>
      </c>
      <c r="AL186" s="5" t="n">
        <v>3240</v>
      </c>
      <c r="AM186" s="5" t="n">
        <v>21240</v>
      </c>
      <c r="AN186" s="3" t="inlineStr"/>
      <c r="AO186" s="5" t="n">
        <v>0</v>
      </c>
      <c r="AP186" s="5" t="n">
        <v>-21240</v>
      </c>
      <c r="AQ186" s="3" t="inlineStr"/>
    </row>
    <row r="187">
      <c r="A187" s="3" t="inlineStr">
        <is>
          <t>185</t>
        </is>
      </c>
      <c r="B187" s="3" t="inlineStr">
        <is>
          <t>NGS 260188</t>
        </is>
      </c>
      <c r="C187" s="4" t="n">
        <v>46169</v>
      </c>
      <c r="D187" s="3" t="inlineStr">
        <is>
          <t>May- 2026</t>
        </is>
      </c>
      <c r="E187" s="4" t="n">
        <v>46170</v>
      </c>
      <c r="F187" s="3" t="inlineStr">
        <is>
          <t>Dr.Manoj Kamble</t>
        </is>
      </c>
      <c r="G187" s="3" t="inlineStr">
        <is>
          <t>Intas Pharmaceuticals (Biopharma Division)</t>
        </is>
      </c>
      <c r="H187" s="3" t="inlineStr">
        <is>
          <t>Intas Pharmaceuticals</t>
        </is>
      </c>
      <c r="I187" s="3" t="inlineStr">
        <is>
          <t>manoj_kamble@intaspharma.com</t>
        </is>
      </c>
      <c r="J187" s="3" t="inlineStr">
        <is>
          <t>9112209988</t>
        </is>
      </c>
      <c r="K187" s="3" t="inlineStr">
        <is>
          <t>Plasmid Whole Genome Sequencing &amp; Analysis On Illumina Novaseq X Plus Platform</t>
        </is>
      </c>
      <c r="L187" s="3" t="inlineStr">
        <is>
          <t>DNA</t>
        </is>
      </c>
      <c r="M187" s="3" t="inlineStr">
        <is>
          <t>Wgs Seq</t>
        </is>
      </c>
      <c r="N187" s="3" t="inlineStr">
        <is>
          <t xml:space="preserve">With Analysis </t>
        </is>
      </c>
      <c r="O187" s="3" t="n">
        <v>3</v>
      </c>
      <c r="P187" s="3" t="inlineStr">
        <is>
          <t>1 GB/Sample</t>
        </is>
      </c>
      <c r="Q187" s="3" t="n">
        <v>1</v>
      </c>
      <c r="R187" s="3" t="n">
        <v>3</v>
      </c>
      <c r="S187" s="3" t="n">
        <v>14000</v>
      </c>
      <c r="T187" s="5" t="n">
        <v>42000</v>
      </c>
      <c r="U187" s="5" t="n">
        <v>7560</v>
      </c>
      <c r="V187" s="5" t="n">
        <v>49560</v>
      </c>
      <c r="W187" s="3" t="inlineStr"/>
      <c r="X187" s="3" t="inlineStr">
        <is>
          <t>Direct</t>
        </is>
      </c>
      <c r="Y187" s="3" t="inlineStr">
        <is>
          <t>West</t>
        </is>
      </c>
      <c r="Z187" s="3" t="inlineStr">
        <is>
          <t>Ahme</t>
        </is>
      </c>
      <c r="AA187" s="3" t="n">
        <v>3</v>
      </c>
      <c r="AB187" s="3" t="n">
        <v>0</v>
      </c>
      <c r="AC187" s="4" t="n">
        <v>46174</v>
      </c>
      <c r="AD187" s="3" t="n">
        <v>4</v>
      </c>
      <c r="AE187" s="3" t="inlineStr">
        <is>
          <t>133</t>
        </is>
      </c>
      <c r="AF187" s="4" t="n">
        <v>46193</v>
      </c>
      <c r="AG187" s="4" t="n">
        <v>46205</v>
      </c>
      <c r="AH187" s="3" t="inlineStr"/>
      <c r="AI187" s="3" t="inlineStr"/>
      <c r="AJ187" s="3" t="inlineStr">
        <is>
          <t xml:space="preserve"> Project Closure</t>
        </is>
      </c>
      <c r="AK187" s="5" t="n">
        <v>42000</v>
      </c>
      <c r="AL187" s="5" t="n">
        <v>7560</v>
      </c>
      <c r="AM187" s="5" t="n">
        <v>49560</v>
      </c>
      <c r="AN187" s="3" t="inlineStr"/>
      <c r="AO187" s="5" t="n">
        <v>0</v>
      </c>
      <c r="AP187" s="5" t="n">
        <v>-49560</v>
      </c>
      <c r="AQ187" s="3" t="inlineStr"/>
    </row>
    <row r="188">
      <c r="A188" s="3" t="inlineStr">
        <is>
          <t>186</t>
        </is>
      </c>
      <c r="B188" s="3" t="inlineStr">
        <is>
          <t>NGS 260190</t>
        </is>
      </c>
      <c r="C188" s="4" t="n">
        <v>46174</v>
      </c>
      <c r="D188" s="3" t="inlineStr">
        <is>
          <t>June- 2026</t>
        </is>
      </c>
      <c r="E188" s="4" t="n">
        <v>46174</v>
      </c>
      <c r="F188" s="3" t="inlineStr">
        <is>
          <t>Dr. D K Maurya</t>
        </is>
      </c>
      <c r="G188" s="3" t="inlineStr">
        <is>
          <t>(Barc), Mumbai</t>
        </is>
      </c>
      <c r="H188" s="3" t="inlineStr">
        <is>
          <t>(Barc), Mumbai</t>
        </is>
      </c>
      <c r="I188" s="3" t="inlineStr">
        <is>
          <t>dkmaurya@barc.gov.in</t>
        </is>
      </c>
      <c r="J188" s="3" t="inlineStr">
        <is>
          <t>9167971427</t>
        </is>
      </c>
      <c r="K188" s="3" t="inlineStr">
        <is>
          <t>Mrna Sequencing &amp; Analysis On Illumina Novaseq X Plus Platform</t>
        </is>
      </c>
      <c r="L188" s="3" t="inlineStr">
        <is>
          <t>Cells &amp; Tissue</t>
        </is>
      </c>
      <c r="M188" s="3" t="inlineStr">
        <is>
          <t>Mrna Seq</t>
        </is>
      </c>
      <c r="N188" s="3" t="inlineStr">
        <is>
          <t xml:space="preserve">With Analysis </t>
        </is>
      </c>
      <c r="O188" s="3" t="n">
        <v>61</v>
      </c>
      <c r="P188" s="3" t="inlineStr">
        <is>
          <t>6-8 GB/Sample</t>
        </is>
      </c>
      <c r="Q188" s="3" t="n">
        <v>8</v>
      </c>
      <c r="R188" s="3" t="n">
        <v>488</v>
      </c>
      <c r="S188" s="3" t="n">
        <v>7800</v>
      </c>
      <c r="T188" s="5" t="n">
        <v>475800</v>
      </c>
      <c r="U188" s="5" t="n">
        <v>85644</v>
      </c>
      <c r="V188" s="5" t="n">
        <v>561444</v>
      </c>
      <c r="W188" s="3" t="inlineStr">
        <is>
          <t>511687796749437</t>
        </is>
      </c>
      <c r="X188" s="3" t="inlineStr">
        <is>
          <t>Purushottam</t>
        </is>
      </c>
      <c r="Y188" s="3" t="inlineStr">
        <is>
          <t>West</t>
        </is>
      </c>
      <c r="Z188" s="3" t="inlineStr">
        <is>
          <t>Nagpur</t>
        </is>
      </c>
      <c r="AA188" s="3" t="n">
        <v>47</v>
      </c>
      <c r="AB188" s="3" t="n">
        <v>14</v>
      </c>
      <c r="AC188" s="4" t="n">
        <v>46178</v>
      </c>
      <c r="AD188" s="3" t="n">
        <v>4</v>
      </c>
      <c r="AE188" s="3" t="inlineStr">
        <is>
          <t>136 &amp; 137</t>
        </is>
      </c>
      <c r="AF188" s="3" t="inlineStr"/>
      <c r="AG188" s="3" t="inlineStr"/>
      <c r="AH188" s="3" t="inlineStr"/>
      <c r="AI188" s="3" t="inlineStr"/>
      <c r="AJ188" s="3" t="inlineStr"/>
      <c r="AK188" s="5" t="n">
        <v>366600</v>
      </c>
      <c r="AL188" s="5" t="n">
        <v>65988</v>
      </c>
      <c r="AM188" s="5" t="n">
        <v>432588</v>
      </c>
      <c r="AN188" s="3" t="inlineStr"/>
      <c r="AO188" s="5" t="n">
        <v>0</v>
      </c>
      <c r="AP188" s="5" t="n">
        <v>-432588</v>
      </c>
      <c r="AQ188" s="3" t="inlineStr"/>
    </row>
    <row r="189">
      <c r="A189" s="3" t="inlineStr">
        <is>
          <t>187</t>
        </is>
      </c>
      <c r="B189" s="3" t="inlineStr">
        <is>
          <t>NGS 260191</t>
        </is>
      </c>
      <c r="C189" s="4" t="n">
        <v>46174</v>
      </c>
      <c r="D189" s="3" t="inlineStr">
        <is>
          <t>June- 2026</t>
        </is>
      </c>
      <c r="E189" s="4" t="n">
        <v>46177</v>
      </c>
      <c r="F189" s="3" t="inlineStr">
        <is>
          <t>Sudharson Narayanan</t>
        </is>
      </c>
      <c r="G189" s="3" t="inlineStr">
        <is>
          <t>Symbiont Life Sciences</t>
        </is>
      </c>
      <c r="H189" s="3" t="inlineStr">
        <is>
          <t>Symbiont Life Sciences</t>
        </is>
      </c>
      <c r="I189" s="3" t="inlineStr">
        <is>
          <t>symbiontcs@gmail.com</t>
        </is>
      </c>
      <c r="J189" s="3" t="inlineStr">
        <is>
          <t>8838222756</t>
        </is>
      </c>
      <c r="K189" s="3" t="inlineStr">
        <is>
          <t>16S Rrna Metagenome V3-V4 Sequencing &amp; Analysis On Illumina Platforms</t>
        </is>
      </c>
      <c r="L189" s="3" t="inlineStr">
        <is>
          <t>DNA</t>
        </is>
      </c>
      <c r="M189" s="3" t="inlineStr">
        <is>
          <t>N/A</t>
        </is>
      </c>
      <c r="N189" s="3" t="inlineStr">
        <is>
          <t xml:space="preserve">Without Analysis </t>
        </is>
      </c>
      <c r="O189" s="3" t="n">
        <v>12</v>
      </c>
      <c r="P189" s="3" t="inlineStr">
        <is>
          <t>1,00,000 reads/sample</t>
        </is>
      </c>
      <c r="Q189" s="3" t="inlineStr"/>
      <c r="R189" s="3" t="n">
        <v>0</v>
      </c>
      <c r="S189" s="3" t="n">
        <v>6000</v>
      </c>
      <c r="T189" s="5" t="n">
        <v>72000</v>
      </c>
      <c r="U189" s="5" t="n">
        <v>12960</v>
      </c>
      <c r="V189" s="5" t="n">
        <v>84960</v>
      </c>
      <c r="W189" s="3" t="inlineStr">
        <is>
          <t>UG/NGS/TP/2401259R1</t>
        </is>
      </c>
      <c r="X189" s="3" t="inlineStr">
        <is>
          <t>Pugalendhi</t>
        </is>
      </c>
      <c r="Y189" s="3" t="inlineStr">
        <is>
          <t>South</t>
        </is>
      </c>
      <c r="Z189" s="3" t="inlineStr">
        <is>
          <t>Chennai</t>
        </is>
      </c>
      <c r="AA189" s="3" t="n">
        <v>0</v>
      </c>
      <c r="AB189" s="3" t="n">
        <v>12</v>
      </c>
      <c r="AC189" s="4" t="n">
        <v>46204</v>
      </c>
      <c r="AD189" s="3" t="n">
        <v>27</v>
      </c>
      <c r="AE189" s="3" t="inlineStr"/>
      <c r="AF189" s="3" t="inlineStr"/>
      <c r="AG189" s="3" t="inlineStr"/>
      <c r="AH189" s="3" t="inlineStr"/>
      <c r="AI189" s="3" t="inlineStr"/>
      <c r="AJ189" s="3" t="inlineStr"/>
      <c r="AK189" s="5" t="n">
        <v>0</v>
      </c>
      <c r="AL189" s="5" t="n">
        <v>0</v>
      </c>
      <c r="AM189" s="5" t="n">
        <v>0</v>
      </c>
      <c r="AN189" s="3" t="inlineStr"/>
      <c r="AO189" s="5" t="n">
        <v>0</v>
      </c>
      <c r="AP189" s="5" t="n">
        <v>0</v>
      </c>
      <c r="AQ189" s="3" t="inlineStr"/>
    </row>
    <row r="190">
      <c r="A190" s="3" t="inlineStr">
        <is>
          <t>188</t>
        </is>
      </c>
      <c r="B190" s="3" t="inlineStr">
        <is>
          <t>NGS 260192</t>
        </is>
      </c>
      <c r="C190" s="4" t="n">
        <v>46174</v>
      </c>
      <c r="D190" s="3" t="inlineStr">
        <is>
          <t>June- 2026</t>
        </is>
      </c>
      <c r="E190" s="4" t="n">
        <v>46177</v>
      </c>
      <c r="F190" s="3" t="inlineStr">
        <is>
          <t>Sudharson Narayanan</t>
        </is>
      </c>
      <c r="G190" s="3" t="inlineStr">
        <is>
          <t>Symbiont Life Sciences</t>
        </is>
      </c>
      <c r="H190" s="3" t="inlineStr">
        <is>
          <t>Symbiont Life Sciences</t>
        </is>
      </c>
      <c r="I190" s="3" t="inlineStr">
        <is>
          <t>symbiontcs@gmail.com</t>
        </is>
      </c>
      <c r="J190" s="3" t="inlineStr">
        <is>
          <t>8838222756</t>
        </is>
      </c>
      <c r="K190" s="3" t="inlineStr">
        <is>
          <t>16S Rrna Metagenome V3-V4 Sequencing &amp; Analysis On Illumina Platforms</t>
        </is>
      </c>
      <c r="L190" s="3" t="inlineStr">
        <is>
          <t>Tissue</t>
        </is>
      </c>
      <c r="M190" s="3" t="inlineStr">
        <is>
          <t>N/A</t>
        </is>
      </c>
      <c r="N190" s="3" t="inlineStr">
        <is>
          <t>With Analysis</t>
        </is>
      </c>
      <c r="O190" s="3" t="n">
        <v>25</v>
      </c>
      <c r="P190" s="3" t="inlineStr">
        <is>
          <t>1,00,000 reads/sample</t>
        </is>
      </c>
      <c r="Q190" s="3" t="inlineStr"/>
      <c r="R190" s="3" t="n">
        <v>0</v>
      </c>
      <c r="S190" s="3" t="n">
        <v>6000</v>
      </c>
      <c r="T190" s="5" t="n">
        <v>150000</v>
      </c>
      <c r="U190" s="5" t="n">
        <v>27000</v>
      </c>
      <c r="V190" s="5" t="n">
        <v>177000</v>
      </c>
      <c r="W190" s="3" t="inlineStr">
        <is>
          <t>UG/NGS/TP/2401259R1</t>
        </is>
      </c>
      <c r="X190" s="3" t="inlineStr">
        <is>
          <t>Pugalendhi</t>
        </is>
      </c>
      <c r="Y190" s="3" t="inlineStr">
        <is>
          <t>South</t>
        </is>
      </c>
      <c r="Z190" s="3" t="inlineStr">
        <is>
          <t>Chennai</t>
        </is>
      </c>
      <c r="AA190" s="3" t="n">
        <v>25</v>
      </c>
      <c r="AB190" s="3" t="n">
        <v>0</v>
      </c>
      <c r="AC190" s="4" t="n">
        <v>46198</v>
      </c>
      <c r="AD190" s="3" t="n">
        <v>21</v>
      </c>
      <c r="AE190" s="3" t="inlineStr"/>
      <c r="AF190" s="3" t="inlineStr"/>
      <c r="AG190" s="3" t="inlineStr"/>
      <c r="AH190" s="3" t="inlineStr"/>
      <c r="AI190" s="3" t="inlineStr"/>
      <c r="AJ190" s="3" t="inlineStr"/>
      <c r="AK190" s="5" t="n">
        <v>150000</v>
      </c>
      <c r="AL190" s="5" t="n">
        <v>27000</v>
      </c>
      <c r="AM190" s="5" t="n">
        <v>177000</v>
      </c>
      <c r="AN190" s="3" t="inlineStr"/>
      <c r="AO190" s="5" t="n">
        <v>0</v>
      </c>
      <c r="AP190" s="5" t="n">
        <v>-177000</v>
      </c>
      <c r="AQ190" s="3" t="inlineStr"/>
    </row>
    <row r="191">
      <c r="A191" s="3" t="inlineStr">
        <is>
          <t>189</t>
        </is>
      </c>
      <c r="B191" s="3" t="inlineStr">
        <is>
          <t>NGS 260193</t>
        </is>
      </c>
      <c r="C191" s="4" t="n">
        <v>46174</v>
      </c>
      <c r="D191" s="3" t="inlineStr">
        <is>
          <t>June- 2026</t>
        </is>
      </c>
      <c r="E191" s="4" t="n">
        <v>46177</v>
      </c>
      <c r="F191" s="3" t="inlineStr">
        <is>
          <t>Sudharson Narayanan</t>
        </is>
      </c>
      <c r="G191" s="3" t="inlineStr">
        <is>
          <t>Symbiont Life Sciences</t>
        </is>
      </c>
      <c r="H191" s="3" t="inlineStr">
        <is>
          <t>Symbiont Life Sciences</t>
        </is>
      </c>
      <c r="I191" s="3" t="inlineStr">
        <is>
          <t>symbiontcs@gmail.com</t>
        </is>
      </c>
      <c r="J191" s="3" t="inlineStr">
        <is>
          <t>8838222756</t>
        </is>
      </c>
      <c r="K191" s="3" t="inlineStr">
        <is>
          <t>16S Rrna Metagenome V3-V4 Sequencing &amp; Analysis On Illumina Platforms</t>
        </is>
      </c>
      <c r="L191" s="3" t="inlineStr">
        <is>
          <t>Stool Swab</t>
        </is>
      </c>
      <c r="M191" s="3" t="inlineStr">
        <is>
          <t>16S Seq</t>
        </is>
      </c>
      <c r="N191" s="3" t="inlineStr">
        <is>
          <t>With Analysis</t>
        </is>
      </c>
      <c r="O191" s="3" t="n">
        <v>5</v>
      </c>
      <c r="P191" s="3" t="inlineStr">
        <is>
          <t>1,00,000 reads/sample</t>
        </is>
      </c>
      <c r="Q191" s="3" t="inlineStr"/>
      <c r="R191" s="3" t="n">
        <v>0</v>
      </c>
      <c r="S191" s="3" t="n">
        <v>6000</v>
      </c>
      <c r="T191" s="5" t="n">
        <v>30000</v>
      </c>
      <c r="U191" s="5" t="n">
        <v>5400</v>
      </c>
      <c r="V191" s="5" t="n">
        <v>35400</v>
      </c>
      <c r="W191" s="3" t="inlineStr">
        <is>
          <t>UG/NGS/TP/2303214R2</t>
        </is>
      </c>
      <c r="X191" s="3" t="inlineStr">
        <is>
          <t>Pugalendhi</t>
        </is>
      </c>
      <c r="Y191" s="3" t="inlineStr">
        <is>
          <t>South</t>
        </is>
      </c>
      <c r="Z191" s="3" t="inlineStr">
        <is>
          <t>Chennai</t>
        </is>
      </c>
      <c r="AA191" s="3" t="n">
        <v>5</v>
      </c>
      <c r="AB191" s="3" t="n">
        <v>0</v>
      </c>
      <c r="AC191" s="4" t="n">
        <v>46198</v>
      </c>
      <c r="AD191" s="3" t="n">
        <v>21</v>
      </c>
      <c r="AE191" s="3" t="inlineStr"/>
      <c r="AF191" s="3" t="inlineStr"/>
      <c r="AG191" s="3" t="inlineStr"/>
      <c r="AH191" s="3" t="inlineStr"/>
      <c r="AI191" s="3" t="inlineStr"/>
      <c r="AJ191" s="3" t="inlineStr"/>
      <c r="AK191" s="5" t="n">
        <v>30000</v>
      </c>
      <c r="AL191" s="5" t="n">
        <v>5400</v>
      </c>
      <c r="AM191" s="5" t="n">
        <v>35400</v>
      </c>
      <c r="AN191" s="3" t="inlineStr"/>
      <c r="AO191" s="5" t="n">
        <v>0</v>
      </c>
      <c r="AP191" s="5" t="n">
        <v>-35400</v>
      </c>
      <c r="AQ191" s="3" t="inlineStr"/>
    </row>
    <row r="192">
      <c r="A192" s="3" t="inlineStr">
        <is>
          <t>190</t>
        </is>
      </c>
      <c r="B192" s="3" t="inlineStr">
        <is>
          <t>NGS 260194</t>
        </is>
      </c>
      <c r="C192" s="4" t="n">
        <v>46174</v>
      </c>
      <c r="D192" s="3" t="inlineStr">
        <is>
          <t>June- 2026</t>
        </is>
      </c>
      <c r="E192" s="4" t="n">
        <v>46177</v>
      </c>
      <c r="F192" s="3" t="inlineStr">
        <is>
          <t>Sudharson Narayanan</t>
        </is>
      </c>
      <c r="G192" s="3" t="inlineStr">
        <is>
          <t>Symbiont Life Sciences</t>
        </is>
      </c>
      <c r="H192" s="3" t="inlineStr">
        <is>
          <t>Symbiont Life Sciences</t>
        </is>
      </c>
      <c r="I192" s="3" t="inlineStr">
        <is>
          <t>symbiontcs@gmail.com</t>
        </is>
      </c>
      <c r="J192" s="3" t="inlineStr">
        <is>
          <t>8838222756</t>
        </is>
      </c>
      <c r="K192" s="3" t="inlineStr">
        <is>
          <t>Whole Transcriptome Sequencing &amp; Analysis On Illumina Novaseq X Plus Platform (Ribodepletion)</t>
        </is>
      </c>
      <c r="L192" s="3" t="inlineStr">
        <is>
          <t>RNA</t>
        </is>
      </c>
      <c r="M192" s="3" t="inlineStr">
        <is>
          <t>Wts Seq</t>
        </is>
      </c>
      <c r="N192" s="3" t="inlineStr">
        <is>
          <t>With Analysis</t>
        </is>
      </c>
      <c r="O192" s="3" t="n">
        <v>4</v>
      </c>
      <c r="P192" s="3" t="inlineStr">
        <is>
          <t>6-8 GB/Sample</t>
        </is>
      </c>
      <c r="Q192" s="3" t="n">
        <v>8</v>
      </c>
      <c r="R192" s="3" t="n">
        <v>32</v>
      </c>
      <c r="S192" s="3" t="n">
        <v>15500</v>
      </c>
      <c r="T192" s="5" t="n">
        <v>62000</v>
      </c>
      <c r="U192" s="5" t="n">
        <v>11160</v>
      </c>
      <c r="V192" s="5" t="n">
        <v>73160</v>
      </c>
      <c r="W192" s="3" t="inlineStr">
        <is>
          <t>UG/NGS/TP/2507876R1</t>
        </is>
      </c>
      <c r="X192" s="3" t="inlineStr">
        <is>
          <t>Pugalendhi</t>
        </is>
      </c>
      <c r="Y192" s="3" t="inlineStr">
        <is>
          <t>South</t>
        </is>
      </c>
      <c r="Z192" s="3" t="inlineStr">
        <is>
          <t>Chennai</t>
        </is>
      </c>
      <c r="AA192" s="3" t="n">
        <v>4</v>
      </c>
      <c r="AB192" s="3" t="n">
        <v>0</v>
      </c>
      <c r="AC192" s="4" t="n">
        <v>46202</v>
      </c>
      <c r="AD192" s="3" t="n">
        <v>25</v>
      </c>
      <c r="AE192" s="3" t="inlineStr">
        <is>
          <t>139 (As per the client confirmation only three sample process)</t>
        </is>
      </c>
      <c r="AF192" s="3" t="inlineStr"/>
      <c r="AG192" s="3" t="inlineStr"/>
      <c r="AH192" s="3" t="inlineStr"/>
      <c r="AI192" s="3" t="inlineStr"/>
      <c r="AJ192" s="3" t="inlineStr"/>
      <c r="AK192" s="5" t="n">
        <v>62000</v>
      </c>
      <c r="AL192" s="5" t="n">
        <v>11160</v>
      </c>
      <c r="AM192" s="5" t="n">
        <v>73160</v>
      </c>
      <c r="AN192" s="3" t="inlineStr"/>
      <c r="AO192" s="5" t="n">
        <v>0</v>
      </c>
      <c r="AP192" s="5" t="n">
        <v>-73160</v>
      </c>
      <c r="AQ192" s="3" t="inlineStr"/>
    </row>
    <row r="193">
      <c r="A193" s="3" t="inlineStr">
        <is>
          <t>191</t>
        </is>
      </c>
      <c r="B193" s="3" t="inlineStr">
        <is>
          <t>NGS 260195</t>
        </is>
      </c>
      <c r="C193" s="4" t="n">
        <v>46174</v>
      </c>
      <c r="D193" s="3" t="inlineStr">
        <is>
          <t>June- 2026</t>
        </is>
      </c>
      <c r="E193" s="4" t="n">
        <v>46177</v>
      </c>
      <c r="F193" s="3" t="inlineStr">
        <is>
          <t>Sudharson Narayanan</t>
        </is>
      </c>
      <c r="G193" s="3" t="inlineStr">
        <is>
          <t>Symbiont Life Sciences</t>
        </is>
      </c>
      <c r="H193" s="3" t="inlineStr">
        <is>
          <t>Symbiont Life Sciences</t>
        </is>
      </c>
      <c r="I193" s="3" t="inlineStr">
        <is>
          <t>symbiontcs@gmail.com</t>
        </is>
      </c>
      <c r="J193" s="3" t="inlineStr">
        <is>
          <t>8838222756</t>
        </is>
      </c>
      <c r="K193" s="3" t="inlineStr">
        <is>
          <t>Transcriptome Sequencing &amp; Analysis On Illumina Platforms</t>
        </is>
      </c>
      <c r="L193" s="3" t="inlineStr">
        <is>
          <t>Rat Tissue</t>
        </is>
      </c>
      <c r="M193" s="3" t="inlineStr">
        <is>
          <t>Wts Seq</t>
        </is>
      </c>
      <c r="N193" s="3" t="inlineStr">
        <is>
          <t>With Analysis</t>
        </is>
      </c>
      <c r="O193" s="3" t="n">
        <v>4</v>
      </c>
      <c r="P193" s="3" t="inlineStr">
        <is>
          <t>8-9 GB /sample</t>
        </is>
      </c>
      <c r="Q193" s="3" t="n">
        <v>9</v>
      </c>
      <c r="R193" s="3" t="n">
        <v>36</v>
      </c>
      <c r="S193" s="3" t="n">
        <v>13500</v>
      </c>
      <c r="T193" s="5" t="n">
        <v>54000</v>
      </c>
      <c r="U193" s="5" t="n">
        <v>9720</v>
      </c>
      <c r="V193" s="5" t="n">
        <v>63720</v>
      </c>
      <c r="W193" s="3" t="inlineStr">
        <is>
          <t>UG/NGS/TP/2409987R1</t>
        </is>
      </c>
      <c r="X193" s="3" t="inlineStr">
        <is>
          <t>Pugalendhi</t>
        </is>
      </c>
      <c r="Y193" s="3" t="inlineStr">
        <is>
          <t>South</t>
        </is>
      </c>
      <c r="Z193" s="3" t="inlineStr">
        <is>
          <t>Chennai</t>
        </is>
      </c>
      <c r="AA193" s="3" t="n">
        <v>4</v>
      </c>
      <c r="AB193" s="3" t="n">
        <v>0</v>
      </c>
      <c r="AC193" s="4" t="n">
        <v>46181</v>
      </c>
      <c r="AD193" s="3" t="n">
        <v>4</v>
      </c>
      <c r="AE193" s="3" t="inlineStr">
        <is>
          <t>136 &amp; 137</t>
        </is>
      </c>
      <c r="AF193" s="3" t="inlineStr"/>
      <c r="AG193" s="3" t="inlineStr"/>
      <c r="AH193" s="3" t="inlineStr"/>
      <c r="AI193" s="3" t="inlineStr"/>
      <c r="AJ193" s="3" t="inlineStr"/>
      <c r="AK193" s="5" t="n">
        <v>54000</v>
      </c>
      <c r="AL193" s="5" t="n">
        <v>9720</v>
      </c>
      <c r="AM193" s="5" t="n">
        <v>63720</v>
      </c>
      <c r="AN193" s="3" t="inlineStr"/>
      <c r="AO193" s="5" t="n">
        <v>0</v>
      </c>
      <c r="AP193" s="5" t="n">
        <v>-63720</v>
      </c>
      <c r="AQ193" s="3" t="inlineStr"/>
    </row>
    <row r="194">
      <c r="A194" s="3" t="inlineStr">
        <is>
          <t>192</t>
        </is>
      </c>
      <c r="B194" s="3" t="inlineStr">
        <is>
          <t>NGS 260196</t>
        </is>
      </c>
      <c r="C194" s="4" t="n">
        <v>46174</v>
      </c>
      <c r="D194" s="3" t="inlineStr">
        <is>
          <t>June- 2026</t>
        </is>
      </c>
      <c r="E194" s="4" t="n">
        <v>46176</v>
      </c>
      <c r="F194" s="3" t="inlineStr">
        <is>
          <t>Dr.Prashant Tembhare</t>
        </is>
      </c>
      <c r="G194" s="3" t="inlineStr">
        <is>
          <t>Tmc-Actrec</t>
        </is>
      </c>
      <c r="H194" s="3" t="inlineStr">
        <is>
          <t>Tmc-Actrec</t>
        </is>
      </c>
      <c r="I194" s="3" t="inlineStr">
        <is>
          <t xml:space="preserve">docprt@gmail.com </t>
        </is>
      </c>
      <c r="J194" s="3" t="inlineStr"/>
      <c r="K194" s="3" t="inlineStr">
        <is>
          <t>Whole Transcriptome Sequencing &amp; Analysis On Illumina Platforms</t>
        </is>
      </c>
      <c r="L194" s="3" t="inlineStr">
        <is>
          <t>RNA</t>
        </is>
      </c>
      <c r="M194" s="3" t="inlineStr">
        <is>
          <t>Wts Seq</t>
        </is>
      </c>
      <c r="N194" s="3" t="inlineStr">
        <is>
          <t xml:space="preserve">With Analysis </t>
        </is>
      </c>
      <c r="O194" s="3" t="n">
        <v>47</v>
      </c>
      <c r="P194" s="3" t="inlineStr">
        <is>
          <t>8-10 GB /sample</t>
        </is>
      </c>
      <c r="Q194" s="3" t="n">
        <v>10</v>
      </c>
      <c r="R194" s="3" t="n">
        <v>470</v>
      </c>
      <c r="S194" s="3" t="n">
        <v>16950</v>
      </c>
      <c r="T194" s="5" t="n">
        <v>796650</v>
      </c>
      <c r="U194" s="5" t="n">
        <v>143397</v>
      </c>
      <c r="V194" s="5" t="n">
        <v>940047</v>
      </c>
      <c r="W194" s="3" t="inlineStr">
        <is>
          <t>UG/NGS/TP/2501410</t>
        </is>
      </c>
      <c r="X194" s="3" t="inlineStr">
        <is>
          <t>Direct</t>
        </is>
      </c>
      <c r="Y194" s="3" t="inlineStr">
        <is>
          <t>Maharashtra</t>
        </is>
      </c>
      <c r="Z194" s="3" t="inlineStr">
        <is>
          <t>Maharashtra</t>
        </is>
      </c>
      <c r="AA194" s="3" t="n">
        <v>44</v>
      </c>
      <c r="AB194" s="3" t="n">
        <v>3</v>
      </c>
      <c r="AC194" s="4" t="n">
        <v>46196</v>
      </c>
      <c r="AD194" s="3" t="n">
        <v>20</v>
      </c>
      <c r="AE194" s="3" t="inlineStr"/>
      <c r="AF194" s="3" t="inlineStr"/>
      <c r="AG194" s="3" t="inlineStr"/>
      <c r="AH194" s="3" t="inlineStr"/>
      <c r="AI194" s="3" t="inlineStr"/>
      <c r="AJ194" s="3" t="inlineStr"/>
      <c r="AK194" s="5" t="n">
        <v>745800</v>
      </c>
      <c r="AL194" s="5" t="n">
        <v>134244</v>
      </c>
      <c r="AM194" s="5" t="n">
        <v>880044</v>
      </c>
      <c r="AN194" s="3" t="inlineStr"/>
      <c r="AO194" s="5" t="n">
        <v>0</v>
      </c>
      <c r="AP194" s="5" t="n">
        <v>-880044</v>
      </c>
      <c r="AQ194" s="3" t="inlineStr"/>
    </row>
    <row r="195">
      <c r="A195" s="3" t="inlineStr">
        <is>
          <t>193</t>
        </is>
      </c>
      <c r="B195" s="3" t="inlineStr">
        <is>
          <t>NGS 260197</t>
        </is>
      </c>
      <c r="C195" s="4" t="n">
        <v>46174</v>
      </c>
      <c r="D195" s="3" t="inlineStr">
        <is>
          <t>June- 2026</t>
        </is>
      </c>
      <c r="E195" s="4" t="n">
        <v>46177</v>
      </c>
      <c r="F195" s="3" t="inlineStr">
        <is>
          <t>Mr.Digil</t>
        </is>
      </c>
      <c r="G195" s="3" t="inlineStr">
        <is>
          <t>Geno Connect Services Private Limited</t>
        </is>
      </c>
      <c r="H195" s="3" t="inlineStr">
        <is>
          <t>Geno Connect Services Private Limited</t>
        </is>
      </c>
      <c r="I195" s="3" t="inlineStr">
        <is>
          <t>Genoconnect.pvt.ltd@gmail.com</t>
        </is>
      </c>
      <c r="J195" s="3" t="inlineStr">
        <is>
          <t>9400039514</t>
        </is>
      </c>
      <c r="K195" s="3" t="inlineStr">
        <is>
          <t>Low Pass Whole Genome Sequencing On Illumina Novaseq X Plus Platform</t>
        </is>
      </c>
      <c r="L195" s="3" t="inlineStr">
        <is>
          <t>Swab Samples</t>
        </is>
      </c>
      <c r="M195" s="3" t="inlineStr">
        <is>
          <t>Low Pass Wgs</t>
        </is>
      </c>
      <c r="N195" s="3" t="inlineStr">
        <is>
          <t xml:space="preserve">Without Analysis </t>
        </is>
      </c>
      <c r="O195" s="3" t="n">
        <v>1</v>
      </c>
      <c r="P195" s="3" t="inlineStr">
        <is>
          <t>3 GB/Sample</t>
        </is>
      </c>
      <c r="Q195" s="3" t="n">
        <v>3</v>
      </c>
      <c r="R195" s="3" t="n">
        <v>3</v>
      </c>
      <c r="S195" s="3" t="n">
        <v>3000</v>
      </c>
      <c r="T195" s="5" t="n">
        <v>3000</v>
      </c>
      <c r="U195" s="5" t="n">
        <v>540</v>
      </c>
      <c r="V195" s="5" t="n">
        <v>3540</v>
      </c>
      <c r="W195" s="3" t="inlineStr">
        <is>
          <t>UG/NGS/TP/2512388R1</t>
        </is>
      </c>
      <c r="X195" s="3" t="inlineStr">
        <is>
          <t>Direct</t>
        </is>
      </c>
      <c r="Y195" s="3" t="inlineStr">
        <is>
          <t>South</t>
        </is>
      </c>
      <c r="Z195" s="3" t="inlineStr">
        <is>
          <t>Kozhikode</t>
        </is>
      </c>
      <c r="AA195" s="3" t="n">
        <v>1</v>
      </c>
      <c r="AB195" s="3" t="n">
        <v>0</v>
      </c>
      <c r="AC195" s="4" t="n">
        <v>46178</v>
      </c>
      <c r="AD195" s="3" t="n">
        <v>1</v>
      </c>
      <c r="AE195" s="3" t="inlineStr">
        <is>
          <t>133</t>
        </is>
      </c>
      <c r="AF195" s="3" t="inlineStr"/>
      <c r="AG195" s="3" t="inlineStr"/>
      <c r="AH195" s="3" t="inlineStr"/>
      <c r="AI195" s="3" t="inlineStr"/>
      <c r="AJ195" s="3" t="inlineStr"/>
      <c r="AK195" s="5" t="n">
        <v>3000</v>
      </c>
      <c r="AL195" s="5" t="n">
        <v>540</v>
      </c>
      <c r="AM195" s="5" t="n">
        <v>3540</v>
      </c>
      <c r="AN195" s="3" t="inlineStr"/>
      <c r="AO195" s="5" t="n">
        <v>0</v>
      </c>
      <c r="AP195" s="5" t="n">
        <v>-3540</v>
      </c>
      <c r="AQ195" s="3" t="inlineStr"/>
    </row>
    <row r="196">
      <c r="A196" s="3" t="inlineStr">
        <is>
          <t>194</t>
        </is>
      </c>
      <c r="B196" s="3" t="inlineStr">
        <is>
          <t>NGS 260198</t>
        </is>
      </c>
      <c r="C196" s="4" t="n">
        <v>46179</v>
      </c>
      <c r="D196" s="3" t="inlineStr">
        <is>
          <t>June- 2026</t>
        </is>
      </c>
      <c r="E196" s="4" t="n">
        <v>46179</v>
      </c>
      <c r="F196" s="3" t="inlineStr">
        <is>
          <t>Dr. Krunal Shukla</t>
        </is>
      </c>
      <c r="G196" s="3" t="inlineStr">
        <is>
          <t>Zydus Research Centre</t>
        </is>
      </c>
      <c r="H196" s="3" t="inlineStr">
        <is>
          <t>Zydus Research Centre</t>
        </is>
      </c>
      <c r="I196" s="3" t="inlineStr">
        <is>
          <t>krunal.shukla@zyduslife.com</t>
        </is>
      </c>
      <c r="J196" s="3" t="inlineStr">
        <is>
          <t>6358951077</t>
        </is>
      </c>
      <c r="K196" s="3" t="inlineStr">
        <is>
          <t>RNA Sequencing &amp; Analysis On Illumina Novaseq X Plus Platform (Ribodepletion)</t>
        </is>
      </c>
      <c r="L196" s="3" t="inlineStr">
        <is>
          <t>Cell Line</t>
        </is>
      </c>
      <c r="M196" s="3" t="inlineStr">
        <is>
          <t>Wts Seq</t>
        </is>
      </c>
      <c r="N196" s="3" t="inlineStr">
        <is>
          <t xml:space="preserve">With Analysis </t>
        </is>
      </c>
      <c r="O196" s="3" t="n">
        <v>3</v>
      </c>
      <c r="P196" s="3" t="inlineStr">
        <is>
          <t>18-20 GB/Sample</t>
        </is>
      </c>
      <c r="Q196" s="3" t="n">
        <v>18</v>
      </c>
      <c r="R196" s="3" t="n">
        <v>54</v>
      </c>
      <c r="S196" s="3" t="n">
        <v>60000</v>
      </c>
      <c r="T196" s="5" t="n">
        <v>180000</v>
      </c>
      <c r="U196" s="5" t="n">
        <v>32400</v>
      </c>
      <c r="V196" s="5" t="n">
        <v>212400</v>
      </c>
      <c r="W196" s="3" t="inlineStr">
        <is>
          <t>UG/NGS/TP/2605688</t>
        </is>
      </c>
      <c r="X196" s="3" t="inlineStr">
        <is>
          <t>Direct</t>
        </is>
      </c>
      <c r="Y196" s="3" t="inlineStr">
        <is>
          <t>West</t>
        </is>
      </c>
      <c r="Z196" s="3" t="inlineStr">
        <is>
          <t>Ahme</t>
        </is>
      </c>
      <c r="AA196" s="3" t="n">
        <v>3</v>
      </c>
      <c r="AB196" s="3" t="n">
        <v>0</v>
      </c>
      <c r="AC196" s="4" t="n">
        <v>46188</v>
      </c>
      <c r="AD196" s="3" t="n">
        <v>9</v>
      </c>
      <c r="AE196" s="3" t="inlineStr">
        <is>
          <t>136</t>
        </is>
      </c>
      <c r="AF196" s="3" t="inlineStr"/>
      <c r="AG196" s="3" t="inlineStr"/>
      <c r="AH196" s="3" t="inlineStr"/>
      <c r="AI196" s="3" t="inlineStr"/>
      <c r="AJ196" s="3" t="inlineStr"/>
      <c r="AK196" s="5" t="n">
        <v>180000</v>
      </c>
      <c r="AL196" s="5" t="n">
        <v>32400</v>
      </c>
      <c r="AM196" s="5" t="n">
        <v>212400</v>
      </c>
      <c r="AN196" s="3" t="inlineStr"/>
      <c r="AO196" s="5" t="n">
        <v>0</v>
      </c>
      <c r="AP196" s="5" t="n">
        <v>-212400</v>
      </c>
      <c r="AQ196" s="3" t="inlineStr"/>
    </row>
    <row r="197">
      <c r="A197" s="3" t="inlineStr">
        <is>
          <t>195</t>
        </is>
      </c>
      <c r="B197" s="3" t="inlineStr">
        <is>
          <t>NGS 260199</t>
        </is>
      </c>
      <c r="C197" s="4" t="n">
        <v>46179</v>
      </c>
      <c r="D197" s="3" t="inlineStr">
        <is>
          <t>June- 2026</t>
        </is>
      </c>
      <c r="E197" s="4" t="n">
        <v>46181</v>
      </c>
      <c r="F197" s="3" t="inlineStr">
        <is>
          <t>Dr. R.V. Shaji</t>
        </is>
      </c>
      <c r="G197" s="3" t="inlineStr">
        <is>
          <t>Cmc Vellore</t>
        </is>
      </c>
      <c r="H197" s="3" t="inlineStr">
        <is>
          <t>Cmc Vellore</t>
        </is>
      </c>
      <c r="I197" s="3" t="inlineStr">
        <is>
          <t>rvshaji@cmcvellore.ac.in/ rakhi.t@cmcvellore.ac.in</t>
        </is>
      </c>
      <c r="J197" s="3" t="inlineStr">
        <is>
          <t>9751366680/8921296915</t>
        </is>
      </c>
      <c r="K197" s="3" t="inlineStr">
        <is>
          <t>RNA Sequencing On Illumina Novaseq X Plus Platform</t>
        </is>
      </c>
      <c r="L197" s="3" t="inlineStr">
        <is>
          <t>RNA</t>
        </is>
      </c>
      <c r="M197" s="3" t="inlineStr">
        <is>
          <t>Wts Seq</t>
        </is>
      </c>
      <c r="N197" s="3" t="inlineStr">
        <is>
          <t xml:space="preserve">Without Analysis </t>
        </is>
      </c>
      <c r="O197" s="3" t="n">
        <v>72</v>
      </c>
      <c r="P197" s="3" t="inlineStr">
        <is>
          <t>60 million reads (~9 GB) / sample</t>
        </is>
      </c>
      <c r="Q197" s="3" t="n">
        <v>9</v>
      </c>
      <c r="R197" s="3" t="n">
        <v>648</v>
      </c>
      <c r="S197" s="3" t="n">
        <v>10000</v>
      </c>
      <c r="T197" s="5" t="n">
        <v>720000</v>
      </c>
      <c r="U197" s="5" t="n">
        <v>129600</v>
      </c>
      <c r="V197" s="5" t="n">
        <v>849600</v>
      </c>
      <c r="W197" s="3" t="inlineStr">
        <is>
          <t>UG/NGS/TP/2603624R1</t>
        </is>
      </c>
      <c r="X197" s="3" t="inlineStr">
        <is>
          <t>Pugalendhi</t>
        </is>
      </c>
      <c r="Y197" s="3" t="inlineStr">
        <is>
          <t>South</t>
        </is>
      </c>
      <c r="Z197" s="3" t="inlineStr">
        <is>
          <t>Vellore</t>
        </is>
      </c>
      <c r="AA197" s="3" t="n">
        <v>72</v>
      </c>
      <c r="AB197" s="3" t="n">
        <v>0</v>
      </c>
      <c r="AC197" s="4" t="n">
        <v>46186</v>
      </c>
      <c r="AD197" s="3" t="n">
        <v>5</v>
      </c>
      <c r="AE197" s="3" t="inlineStr">
        <is>
          <t>139</t>
        </is>
      </c>
      <c r="AF197" s="3" t="inlineStr"/>
      <c r="AG197" s="3" t="inlineStr"/>
      <c r="AH197" s="3" t="inlineStr"/>
      <c r="AI197" s="3" t="inlineStr"/>
      <c r="AJ197" s="3" t="inlineStr"/>
      <c r="AK197" s="5" t="n">
        <v>720000</v>
      </c>
      <c r="AL197" s="5" t="n">
        <v>129600</v>
      </c>
      <c r="AM197" s="5" t="n">
        <v>849600</v>
      </c>
      <c r="AN197" s="3" t="inlineStr"/>
      <c r="AO197" s="5" t="n">
        <v>0</v>
      </c>
      <c r="AP197" s="5" t="n">
        <v>-849600</v>
      </c>
      <c r="AQ197" s="3" t="inlineStr"/>
    </row>
    <row r="198">
      <c r="A198" s="3" t="inlineStr">
        <is>
          <t>196</t>
        </is>
      </c>
      <c r="B198" s="3" t="inlineStr">
        <is>
          <t>NGS 260200</t>
        </is>
      </c>
      <c r="C198" s="4" t="n">
        <v>46179</v>
      </c>
      <c r="D198" s="3" t="inlineStr">
        <is>
          <t>June- 2026</t>
        </is>
      </c>
      <c r="E198" s="4" t="n">
        <v>46179</v>
      </c>
      <c r="F198" s="3" t="inlineStr">
        <is>
          <t>Sudharson Narayanan</t>
        </is>
      </c>
      <c r="G198" s="3" t="inlineStr">
        <is>
          <t>Symbiont Life Sciences</t>
        </is>
      </c>
      <c r="H198" s="3" t="inlineStr">
        <is>
          <t>Symbiont Life Sciences</t>
        </is>
      </c>
      <c r="I198" s="3" t="inlineStr">
        <is>
          <t>symbiontcs@gmail.com</t>
        </is>
      </c>
      <c r="J198" s="3" t="inlineStr">
        <is>
          <t>8838222756</t>
        </is>
      </c>
      <c r="K198" s="3" t="inlineStr">
        <is>
          <t>16S Rrna Metagenome V3-V4 Sequencing &amp; Analysis On Illumina Platforms</t>
        </is>
      </c>
      <c r="L198" s="3" t="inlineStr">
        <is>
          <t>Env</t>
        </is>
      </c>
      <c r="M198" s="3" t="inlineStr">
        <is>
          <t>16Sseq</t>
        </is>
      </c>
      <c r="N198" s="3" t="inlineStr">
        <is>
          <t xml:space="preserve">With Analysis </t>
        </is>
      </c>
      <c r="O198" s="3" t="n">
        <v>6</v>
      </c>
      <c r="P198" s="3" t="inlineStr">
        <is>
          <t>1,00,000 reads/sample</t>
        </is>
      </c>
      <c r="Q198" s="3" t="n">
        <v>0</v>
      </c>
      <c r="R198" s="3" t="n">
        <v>0</v>
      </c>
      <c r="S198" s="3" t="n">
        <v>6000</v>
      </c>
      <c r="T198" s="5" t="n">
        <v>36000</v>
      </c>
      <c r="U198" s="5" t="n">
        <v>6480</v>
      </c>
      <c r="V198" s="5" t="n">
        <v>42480</v>
      </c>
      <c r="W198" s="3" t="inlineStr">
        <is>
          <t>UG/NGS/TP/2303214R2</t>
        </is>
      </c>
      <c r="X198" s="3" t="inlineStr">
        <is>
          <t>Pugalendhi</t>
        </is>
      </c>
      <c r="Y198" s="3" t="inlineStr">
        <is>
          <t>South</t>
        </is>
      </c>
      <c r="Z198" s="3" t="inlineStr">
        <is>
          <t>Chennai</t>
        </is>
      </c>
      <c r="AA198" s="3" t="n">
        <v>6</v>
      </c>
      <c r="AB198" s="3" t="n">
        <v>0</v>
      </c>
      <c r="AC198" s="4" t="n">
        <v>46213</v>
      </c>
      <c r="AD198" s="3" t="n">
        <v>34</v>
      </c>
      <c r="AE198" s="3" t="inlineStr"/>
      <c r="AF198" s="3" t="inlineStr"/>
      <c r="AG198" s="3" t="inlineStr"/>
      <c r="AH198" s="3" t="inlineStr"/>
      <c r="AI198" s="3" t="inlineStr"/>
      <c r="AJ198" s="3" t="inlineStr"/>
      <c r="AK198" s="5" t="n">
        <v>36000</v>
      </c>
      <c r="AL198" s="5" t="n">
        <v>6480</v>
      </c>
      <c r="AM198" s="5" t="n">
        <v>42480</v>
      </c>
      <c r="AN198" s="3" t="inlineStr"/>
      <c r="AO198" s="5" t="n">
        <v>0</v>
      </c>
      <c r="AP198" s="5" t="n">
        <v>-42480</v>
      </c>
      <c r="AQ198" s="3" t="inlineStr"/>
    </row>
    <row r="199">
      <c r="A199" s="3" t="inlineStr">
        <is>
          <t>197</t>
        </is>
      </c>
      <c r="B199" s="3" t="inlineStr">
        <is>
          <t>Re-NGS 260201</t>
        </is>
      </c>
      <c r="C199" s="4" t="n">
        <v>46179</v>
      </c>
      <c r="D199" s="3" t="inlineStr">
        <is>
          <t>June- 2026</t>
        </is>
      </c>
      <c r="E199" s="4" t="n">
        <v>46196</v>
      </c>
      <c r="F199" s="3" t="inlineStr">
        <is>
          <t>Dr. Asha Chaubey</t>
        </is>
      </c>
      <c r="G199" s="3" t="inlineStr">
        <is>
          <t>Iiim Jammu</t>
        </is>
      </c>
      <c r="H199" s="3" t="inlineStr">
        <is>
          <t>Labdose</t>
        </is>
      </c>
      <c r="I199" s="3" t="inlineStr">
        <is>
          <t>Info@labdose.in</t>
        </is>
      </c>
      <c r="J199" s="3" t="inlineStr"/>
      <c r="K199" s="3" t="inlineStr">
        <is>
          <t>Whole Genome Sequencing &amp; Analysis On Illumina Novaseq X Plus Platform</t>
        </is>
      </c>
      <c r="L199" s="3" t="inlineStr">
        <is>
          <t>DNA (Fungus)</t>
        </is>
      </c>
      <c r="M199" s="3" t="inlineStr">
        <is>
          <t>Wgs Seq</t>
        </is>
      </c>
      <c r="N199" s="3" t="inlineStr">
        <is>
          <t xml:space="preserve">With Analysis </t>
        </is>
      </c>
      <c r="O199" s="3" t="n">
        <v>1</v>
      </c>
      <c r="P199" s="3" t="inlineStr">
        <is>
          <t>2 GB/Sample</t>
        </is>
      </c>
      <c r="Q199" s="3" t="n">
        <v>2</v>
      </c>
      <c r="R199" s="3" t="n">
        <v>0</v>
      </c>
      <c r="S199" s="3" t="n">
        <v>11000</v>
      </c>
      <c r="T199" s="5" t="n">
        <v>11000</v>
      </c>
      <c r="U199" s="5" t="n">
        <v>1980</v>
      </c>
      <c r="V199" s="5" t="n">
        <v>12980</v>
      </c>
      <c r="W199" s="3" t="inlineStr">
        <is>
          <t>UG/NGS/TP/2606735R1</t>
        </is>
      </c>
      <c r="X199" s="3" t="inlineStr">
        <is>
          <t>Harsh</t>
        </is>
      </c>
      <c r="Y199" s="3" t="inlineStr">
        <is>
          <t>North</t>
        </is>
      </c>
      <c r="Z199" s="3" t="inlineStr">
        <is>
          <t>J&amp;K</t>
        </is>
      </c>
      <c r="AA199" s="3" t="n">
        <v>1</v>
      </c>
      <c r="AB199" s="3" t="n">
        <v>0</v>
      </c>
      <c r="AC199" s="4" t="n">
        <v>46198</v>
      </c>
      <c r="AD199" s="3" t="n">
        <v>2</v>
      </c>
      <c r="AE199" s="3" t="inlineStr">
        <is>
          <t>141</t>
        </is>
      </c>
      <c r="AF199" s="3" t="inlineStr"/>
      <c r="AG199" s="3" t="inlineStr"/>
      <c r="AH199" s="3" t="inlineStr"/>
      <c r="AI199" s="3" t="inlineStr"/>
      <c r="AJ199" s="3" t="inlineStr"/>
      <c r="AK199" s="5" t="n">
        <v>11000</v>
      </c>
      <c r="AL199" s="5" t="n">
        <v>1980</v>
      </c>
      <c r="AM199" s="5" t="n">
        <v>12980</v>
      </c>
      <c r="AN199" s="3" t="inlineStr"/>
      <c r="AO199" s="5" t="n">
        <v>0</v>
      </c>
      <c r="AP199" s="5" t="n">
        <v>-12980</v>
      </c>
      <c r="AQ199" s="3" t="inlineStr"/>
    </row>
    <row r="200">
      <c r="A200" s="3" t="inlineStr">
        <is>
          <t>198</t>
        </is>
      </c>
      <c r="B200" s="3" t="inlineStr">
        <is>
          <t>NGS 260202</t>
        </is>
      </c>
      <c r="C200" s="4" t="n">
        <v>46179</v>
      </c>
      <c r="D200" s="3" t="inlineStr">
        <is>
          <t>June- 2026</t>
        </is>
      </c>
      <c r="E200" s="4" t="n">
        <v>46181</v>
      </c>
      <c r="F200" s="3" t="inlineStr">
        <is>
          <t>Dr. Priyanka Das</t>
        </is>
      </c>
      <c r="G200" s="3" t="inlineStr">
        <is>
          <t>Assam Agricultural University</t>
        </is>
      </c>
      <c r="H200" s="3" t="inlineStr">
        <is>
          <t>Assam Agricultural University</t>
        </is>
      </c>
      <c r="I200" s="3" t="inlineStr">
        <is>
          <t>priyanka.das@aau.ac.in/deena.aranha.adj22@aau.ac.in</t>
        </is>
      </c>
      <c r="J200" s="3" t="inlineStr">
        <is>
          <t>8310013165</t>
        </is>
      </c>
      <c r="K200" s="3" t="inlineStr">
        <is>
          <t>16S V3-V4 Metagenome Sequencing &amp; Analysis On Illumina Platform</t>
        </is>
      </c>
      <c r="L200" s="3" t="inlineStr">
        <is>
          <t>Chicken Gut</t>
        </is>
      </c>
      <c r="M200" s="3" t="inlineStr">
        <is>
          <t>16Sseq</t>
        </is>
      </c>
      <c r="N200" s="3" t="inlineStr">
        <is>
          <t xml:space="preserve">With Analysis </t>
        </is>
      </c>
      <c r="O200" s="3" t="n">
        <v>3</v>
      </c>
      <c r="P200" s="3" t="inlineStr">
        <is>
          <t>0.1 M Reads/Sample</t>
        </is>
      </c>
      <c r="Q200" s="3" t="n">
        <v>0</v>
      </c>
      <c r="R200" s="3" t="n">
        <v>0</v>
      </c>
      <c r="S200" s="3" t="n">
        <v>6800</v>
      </c>
      <c r="T200" s="5" t="n">
        <v>20400</v>
      </c>
      <c r="U200" s="5" t="n">
        <v>3672</v>
      </c>
      <c r="V200" s="5" t="n">
        <v>24072</v>
      </c>
      <c r="W200" s="3" t="inlineStr">
        <is>
          <t>UG/NGS/TP/2606734</t>
        </is>
      </c>
      <c r="X200" s="3" t="inlineStr">
        <is>
          <t>Pranjit</t>
        </is>
      </c>
      <c r="Y200" s="3" t="inlineStr">
        <is>
          <t>East</t>
        </is>
      </c>
      <c r="Z200" s="3" t="inlineStr">
        <is>
          <t>Jorhat</t>
        </is>
      </c>
      <c r="AA200" s="3" t="n">
        <v>3</v>
      </c>
      <c r="AB200" s="3" t="n">
        <v>0</v>
      </c>
      <c r="AC200" s="4" t="n">
        <v>46204</v>
      </c>
      <c r="AD200" s="3" t="n">
        <v>23</v>
      </c>
      <c r="AE200" s="3" t="inlineStr"/>
      <c r="AF200" s="3" t="inlineStr"/>
      <c r="AG200" s="3" t="inlineStr"/>
      <c r="AH200" s="3" t="inlineStr"/>
      <c r="AI200" s="3" t="inlineStr"/>
      <c r="AJ200" s="3" t="inlineStr"/>
      <c r="AK200" s="5" t="n">
        <v>20400</v>
      </c>
      <c r="AL200" s="5" t="n">
        <v>3672</v>
      </c>
      <c r="AM200" s="5" t="n">
        <v>24072</v>
      </c>
      <c r="AN200" s="3" t="inlineStr"/>
      <c r="AO200" s="5" t="n">
        <v>0</v>
      </c>
      <c r="AP200" s="5" t="n">
        <v>-24072</v>
      </c>
      <c r="AQ200" s="3" t="inlineStr"/>
    </row>
    <row r="201">
      <c r="A201" s="3" t="inlineStr">
        <is>
          <t>199</t>
        </is>
      </c>
      <c r="B201" s="3" t="inlineStr">
        <is>
          <t>NGS 260203</t>
        </is>
      </c>
      <c r="C201" s="4" t="n">
        <v>46179</v>
      </c>
      <c r="D201" s="3" t="inlineStr">
        <is>
          <t>June- 2026</t>
        </is>
      </c>
      <c r="E201" s="4" t="n">
        <v>46179</v>
      </c>
      <c r="F201" s="3" t="inlineStr">
        <is>
          <t>Dr. V. Balaji</t>
        </is>
      </c>
      <c r="G201" s="3" t="inlineStr">
        <is>
          <t>Cmc Vellore</t>
        </is>
      </c>
      <c r="H201" s="3" t="inlineStr">
        <is>
          <t>Cmc Vellore</t>
        </is>
      </c>
      <c r="I201" s="3" t="inlineStr">
        <is>
          <t>jjj1986@gmail.com</t>
        </is>
      </c>
      <c r="J201" s="3" t="inlineStr">
        <is>
          <t>9677891217</t>
        </is>
      </c>
      <c r="K201" s="3" t="inlineStr">
        <is>
          <t>Whole Genome Sequencing On Illumina Novaseq 6000 Platforms</t>
        </is>
      </c>
      <c r="L201" s="3" t="inlineStr">
        <is>
          <t>DNA</t>
        </is>
      </c>
      <c r="M201" s="3" t="inlineStr">
        <is>
          <t>Wgs Seq</t>
        </is>
      </c>
      <c r="N201" s="3" t="inlineStr">
        <is>
          <t>Without Analysis</t>
        </is>
      </c>
      <c r="O201" s="3" t="n">
        <v>310</v>
      </c>
      <c r="P201" s="3" t="inlineStr">
        <is>
          <t>0.5 GB -1 GB/sample</t>
        </is>
      </c>
      <c r="Q201" s="3" t="n">
        <v>1</v>
      </c>
      <c r="R201" s="3" t="n">
        <v>310</v>
      </c>
      <c r="S201" s="3" t="n">
        <v>2300</v>
      </c>
      <c r="T201" s="5" t="n">
        <v>713000</v>
      </c>
      <c r="U201" s="5" t="n">
        <v>128340</v>
      </c>
      <c r="V201" s="5" t="n">
        <v>841340</v>
      </c>
      <c r="W201" s="3" t="inlineStr"/>
      <c r="X201" s="3" t="inlineStr">
        <is>
          <t>Pugalendhi</t>
        </is>
      </c>
      <c r="Y201" s="3" t="inlineStr">
        <is>
          <t>South</t>
        </is>
      </c>
      <c r="Z201" s="3" t="inlineStr">
        <is>
          <t>Vellore</t>
        </is>
      </c>
      <c r="AA201" s="3" t="n">
        <v>310</v>
      </c>
      <c r="AB201" s="3" t="n">
        <v>0</v>
      </c>
      <c r="AC201" s="4" t="n">
        <v>46190</v>
      </c>
      <c r="AD201" s="3" t="n">
        <v>11</v>
      </c>
      <c r="AE201" s="3" t="inlineStr">
        <is>
          <t>136 &amp; 139</t>
        </is>
      </c>
      <c r="AF201" s="3" t="inlineStr"/>
      <c r="AG201" s="3" t="inlineStr"/>
      <c r="AH201" s="3" t="inlineStr"/>
      <c r="AI201" s="3" t="inlineStr"/>
      <c r="AJ201" s="3" t="inlineStr"/>
      <c r="AK201" s="5" t="n">
        <v>713000</v>
      </c>
      <c r="AL201" s="5" t="n">
        <v>128340</v>
      </c>
      <c r="AM201" s="5" t="n">
        <v>841340</v>
      </c>
      <c r="AN201" s="3" t="inlineStr"/>
      <c r="AO201" s="5" t="n">
        <v>0</v>
      </c>
      <c r="AP201" s="5" t="n">
        <v>-841340</v>
      </c>
      <c r="AQ201" s="3" t="inlineStr"/>
    </row>
    <row r="202">
      <c r="A202" s="3" t="inlineStr">
        <is>
          <t>200</t>
        </is>
      </c>
      <c r="B202" s="3" t="inlineStr">
        <is>
          <t>NGS 260204</t>
        </is>
      </c>
      <c r="C202" s="4" t="n">
        <v>46179</v>
      </c>
      <c r="D202" s="3" t="inlineStr">
        <is>
          <t>June- 2026</t>
        </is>
      </c>
      <c r="E202" s="4" t="n">
        <v>46179</v>
      </c>
      <c r="F202" s="3" t="inlineStr">
        <is>
          <t>Dr. V. Balaji</t>
        </is>
      </c>
      <c r="G202" s="3" t="inlineStr">
        <is>
          <t>Cmc Vellore</t>
        </is>
      </c>
      <c r="H202" s="3" t="inlineStr">
        <is>
          <t>Cmc Vellore</t>
        </is>
      </c>
      <c r="I202" s="3" t="inlineStr">
        <is>
          <t>jjj1986@gmail.com</t>
        </is>
      </c>
      <c r="J202" s="3" t="inlineStr">
        <is>
          <t>9677891217</t>
        </is>
      </c>
      <c r="K202" s="3" t="inlineStr">
        <is>
          <t>Whole Genome Metagenome Sequencing On Illumina Novaseq X Plus Platform</t>
        </is>
      </c>
      <c r="L202" s="3" t="inlineStr">
        <is>
          <t>DNA</t>
        </is>
      </c>
      <c r="M202" s="3" t="inlineStr">
        <is>
          <t>Wms</t>
        </is>
      </c>
      <c r="N202" s="3" t="inlineStr">
        <is>
          <t>Without Analysis</t>
        </is>
      </c>
      <c r="O202" s="3" t="n">
        <v>19</v>
      </c>
      <c r="P202" s="3" t="inlineStr">
        <is>
          <t>3 GB/ sample</t>
        </is>
      </c>
      <c r="Q202" s="3" t="n">
        <v>3</v>
      </c>
      <c r="R202" s="3" t="n">
        <v>57</v>
      </c>
      <c r="S202" s="3" t="n">
        <v>3700</v>
      </c>
      <c r="T202" s="5" t="n">
        <v>70300</v>
      </c>
      <c r="U202" s="5" t="n">
        <v>12654</v>
      </c>
      <c r="V202" s="5" t="n">
        <v>82954</v>
      </c>
      <c r="W202" s="3" t="inlineStr">
        <is>
          <t>UG/NGS/TP/2601502</t>
        </is>
      </c>
      <c r="X202" s="3" t="inlineStr">
        <is>
          <t>Pugalendhi</t>
        </is>
      </c>
      <c r="Y202" s="3" t="inlineStr">
        <is>
          <t>South</t>
        </is>
      </c>
      <c r="Z202" s="3" t="inlineStr">
        <is>
          <t>Vellore</t>
        </is>
      </c>
      <c r="AA202" s="3" t="n">
        <v>19</v>
      </c>
      <c r="AB202" s="3" t="n">
        <v>0</v>
      </c>
      <c r="AC202" s="4" t="n">
        <v>46190</v>
      </c>
      <c r="AD202" s="3" t="n">
        <v>11</v>
      </c>
      <c r="AE202" s="3" t="inlineStr">
        <is>
          <t>141</t>
        </is>
      </c>
      <c r="AF202" s="4" t="n">
        <v>46216</v>
      </c>
      <c r="AG202" s="3" t="inlineStr"/>
      <c r="AH202" s="3" t="inlineStr"/>
      <c r="AI202" s="3" t="inlineStr"/>
      <c r="AJ202" s="3" t="inlineStr"/>
      <c r="AK202" s="5" t="n">
        <v>70300</v>
      </c>
      <c r="AL202" s="5" t="n">
        <v>12654</v>
      </c>
      <c r="AM202" s="5" t="n">
        <v>82954</v>
      </c>
      <c r="AN202" s="3" t="inlineStr"/>
      <c r="AO202" s="5" t="n">
        <v>0</v>
      </c>
      <c r="AP202" s="5" t="n">
        <v>-82954</v>
      </c>
      <c r="AQ202" s="3" t="inlineStr"/>
    </row>
    <row r="203">
      <c r="A203" s="3" t="inlineStr">
        <is>
          <t>201</t>
        </is>
      </c>
      <c r="B203" s="3" t="inlineStr">
        <is>
          <t>NGS 260205</t>
        </is>
      </c>
      <c r="C203" s="4" t="n">
        <v>46181</v>
      </c>
      <c r="D203" s="3" t="inlineStr">
        <is>
          <t>June- 2026</t>
        </is>
      </c>
      <c r="E203" s="4" t="n">
        <v>46181</v>
      </c>
      <c r="F203" s="3" t="inlineStr">
        <is>
          <t>Mr.Lokesh</t>
        </is>
      </c>
      <c r="G203" s="3" t="inlineStr">
        <is>
          <t>Mr.Lokesh</t>
        </is>
      </c>
      <c r="H203" s="3" t="inlineStr">
        <is>
          <t>Precision Genomics Technologies</t>
        </is>
      </c>
      <c r="I203" s="3" t="inlineStr">
        <is>
          <t>admin@precisiongenomics.in</t>
        </is>
      </c>
      <c r="J203" s="3" t="inlineStr"/>
      <c r="K203" s="3" t="inlineStr">
        <is>
          <t>Bacterial Whole Genome Sequencing On Illumina Novaseq X Plus Platform</t>
        </is>
      </c>
      <c r="L203" s="3" t="inlineStr">
        <is>
          <t>DNA</t>
        </is>
      </c>
      <c r="M203" s="3" t="inlineStr">
        <is>
          <t>Wgs</t>
        </is>
      </c>
      <c r="N203" s="3" t="inlineStr">
        <is>
          <t>Without Analysis</t>
        </is>
      </c>
      <c r="O203" s="3" t="n">
        <v>1</v>
      </c>
      <c r="P203" s="3" t="inlineStr">
        <is>
          <t>6 GB/Sample</t>
        </is>
      </c>
      <c r="Q203" s="3" t="n">
        <v>6</v>
      </c>
      <c r="R203" s="3" t="n">
        <v>6</v>
      </c>
      <c r="S203" s="3" t="n">
        <v>8900</v>
      </c>
      <c r="T203" s="5" t="n">
        <v>8900</v>
      </c>
      <c r="U203" s="5" t="n">
        <v>1602</v>
      </c>
      <c r="V203" s="5" t="n">
        <v>10502</v>
      </c>
      <c r="W203" s="3" t="inlineStr">
        <is>
          <t>UG/NGS/TP/2605725R1</t>
        </is>
      </c>
      <c r="X203" s="3" t="inlineStr">
        <is>
          <t>Direct</t>
        </is>
      </c>
      <c r="Y203" s="3" t="inlineStr">
        <is>
          <t>North</t>
        </is>
      </c>
      <c r="Z203" s="3" t="inlineStr">
        <is>
          <t>New Delhi</t>
        </is>
      </c>
      <c r="AA203" s="3" t="n">
        <v>1</v>
      </c>
      <c r="AB203" s="3" t="n">
        <v>0</v>
      </c>
      <c r="AC203" s="4" t="n">
        <v>46184</v>
      </c>
      <c r="AD203" s="3" t="n">
        <v>3</v>
      </c>
      <c r="AE203" s="3" t="inlineStr">
        <is>
          <t>136</t>
        </is>
      </c>
      <c r="AF203" s="3" t="inlineStr"/>
      <c r="AG203" s="3" t="inlineStr"/>
      <c r="AH203" s="3" t="inlineStr"/>
      <c r="AI203" s="3" t="inlineStr"/>
      <c r="AJ203" s="3" t="inlineStr"/>
      <c r="AK203" s="5" t="n">
        <v>8900</v>
      </c>
      <c r="AL203" s="5" t="n">
        <v>1602</v>
      </c>
      <c r="AM203" s="5" t="n">
        <v>10502</v>
      </c>
      <c r="AN203" s="3" t="inlineStr"/>
      <c r="AO203" s="5" t="n">
        <v>0</v>
      </c>
      <c r="AP203" s="5" t="n">
        <v>-10502</v>
      </c>
      <c r="AQ203" s="3" t="inlineStr"/>
    </row>
    <row r="204">
      <c r="A204" s="3" t="inlineStr">
        <is>
          <t>z</t>
        </is>
      </c>
      <c r="B204" s="3" t="inlineStr">
        <is>
          <t>GEM-NGS 260206</t>
        </is>
      </c>
      <c r="C204" s="4" t="n">
        <v>46184</v>
      </c>
      <c r="D204" s="3" t="inlineStr">
        <is>
          <t>June- 2026</t>
        </is>
      </c>
      <c r="E204" s="4" t="n">
        <v>46184</v>
      </c>
      <c r="F204" s="3" t="inlineStr">
        <is>
          <t>Dr. V. Umashankar</t>
        </is>
      </c>
      <c r="G204" s="3" t="inlineStr">
        <is>
          <t>Icmr -Nirt</t>
        </is>
      </c>
      <c r="H204" s="3" t="inlineStr">
        <is>
          <t>Icmr -Nirt</t>
        </is>
      </c>
      <c r="I204" s="3" t="inlineStr">
        <is>
          <t>umashankar.v@icmr.gov.in, vumashankar@gmail.co</t>
        </is>
      </c>
      <c r="J204" s="3" t="inlineStr">
        <is>
          <t>9094839759</t>
        </is>
      </c>
      <c r="K204" s="3" t="inlineStr">
        <is>
          <t>Whole Transcriptome Sequencing On Illumina Platforms</t>
        </is>
      </c>
      <c r="L204" s="3" t="inlineStr">
        <is>
          <t>RNA (Human (Cell Line) And Bacteria)</t>
        </is>
      </c>
      <c r="M204" s="3" t="inlineStr">
        <is>
          <t>N/A</t>
        </is>
      </c>
      <c r="N204" s="3" t="inlineStr">
        <is>
          <t>Without Analysis</t>
        </is>
      </c>
      <c r="O204" s="3" t="n">
        <v>9</v>
      </c>
      <c r="P204" s="3" t="inlineStr">
        <is>
          <t>22-24 GB/Sample</t>
        </is>
      </c>
      <c r="Q204" s="3" t="n">
        <v>24</v>
      </c>
      <c r="R204" s="3" t="n">
        <v>216</v>
      </c>
      <c r="S204" s="3" t="n">
        <v>18000</v>
      </c>
      <c r="T204" s="5" t="n">
        <v>162000</v>
      </c>
      <c r="U204" s="5" t="n">
        <v>29160</v>
      </c>
      <c r="V204" s="5" t="n">
        <v>191160</v>
      </c>
      <c r="W204" s="3" t="inlineStr">
        <is>
          <t>GEMC-511687768387514</t>
        </is>
      </c>
      <c r="X204" s="3" t="inlineStr">
        <is>
          <t>Pugalendhi</t>
        </is>
      </c>
      <c r="Y204" s="3" t="inlineStr">
        <is>
          <t>South</t>
        </is>
      </c>
      <c r="Z204" s="3" t="inlineStr">
        <is>
          <t>Chennai</t>
        </is>
      </c>
      <c r="AA204" s="3" t="n">
        <v>6</v>
      </c>
      <c r="AB204" s="3" t="n">
        <v>3</v>
      </c>
      <c r="AC204" s="4" t="n">
        <v>46213</v>
      </c>
      <c r="AD204" s="3" t="n">
        <v>29</v>
      </c>
      <c r="AE204" s="3" t="inlineStr"/>
      <c r="AF204" s="3" t="inlineStr"/>
      <c r="AG204" s="3" t="inlineStr"/>
      <c r="AH204" s="3" t="inlineStr"/>
      <c r="AI204" s="3" t="inlineStr"/>
      <c r="AJ204" s="3" t="inlineStr"/>
      <c r="AK204" s="5" t="n">
        <v>108000</v>
      </c>
      <c r="AL204" s="5" t="n">
        <v>19440</v>
      </c>
      <c r="AM204" s="5" t="n">
        <v>127440</v>
      </c>
      <c r="AN204" s="3" t="inlineStr"/>
      <c r="AO204" s="5" t="n">
        <v>0</v>
      </c>
      <c r="AP204" s="5" t="n">
        <v>-127440</v>
      </c>
      <c r="AQ204" s="3" t="inlineStr"/>
    </row>
    <row r="205">
      <c r="A205" s="3" t="inlineStr">
        <is>
          <t>203</t>
        </is>
      </c>
      <c r="B205" s="3" t="inlineStr">
        <is>
          <t>GEM-NGS 260207</t>
        </is>
      </c>
      <c r="C205" s="4" t="n">
        <v>46184</v>
      </c>
      <c r="D205" s="3" t="inlineStr">
        <is>
          <t>June- 2026</t>
        </is>
      </c>
      <c r="E205" s="4" t="n">
        <v>46184</v>
      </c>
      <c r="F205" s="3" t="inlineStr">
        <is>
          <t>Dr. V. Umashankar</t>
        </is>
      </c>
      <c r="G205" s="3" t="inlineStr">
        <is>
          <t>Icmr -Nirt</t>
        </is>
      </c>
      <c r="H205" s="3" t="inlineStr">
        <is>
          <t>Icmr -Nirt</t>
        </is>
      </c>
      <c r="I205" s="3" t="inlineStr">
        <is>
          <t>umashankar.v@icmr.gov.in, vumashankar@gmail.co</t>
        </is>
      </c>
      <c r="J205" s="3" t="inlineStr">
        <is>
          <t>9094839759</t>
        </is>
      </c>
      <c r="K205" s="3" t="inlineStr">
        <is>
          <t>Mirna Sequencing On Illumina Platforms</t>
        </is>
      </c>
      <c r="L205" s="3" t="inlineStr">
        <is>
          <t>RNA (Human (Cell Line) And Bacteria)</t>
        </is>
      </c>
      <c r="M205" s="3" t="inlineStr">
        <is>
          <t>N/A</t>
        </is>
      </c>
      <c r="N205" s="3" t="inlineStr">
        <is>
          <t>Without Analysis</t>
        </is>
      </c>
      <c r="O205" s="3" t="n">
        <v>9</v>
      </c>
      <c r="P205" s="3" t="inlineStr">
        <is>
          <t>1.5 GB/Sample</t>
        </is>
      </c>
      <c r="Q205" s="3" t="n">
        <v>1.5</v>
      </c>
      <c r="R205" s="3" t="n">
        <v>13.5</v>
      </c>
      <c r="S205" s="3" t="n">
        <v>13000</v>
      </c>
      <c r="T205" s="5" t="n">
        <v>117000</v>
      </c>
      <c r="U205" s="5" t="n">
        <v>21060</v>
      </c>
      <c r="V205" s="5" t="n">
        <v>138060</v>
      </c>
      <c r="W205" s="3" t="inlineStr">
        <is>
          <t>GEMC-511687768387514</t>
        </is>
      </c>
      <c r="X205" s="3" t="inlineStr">
        <is>
          <t>Pugalendhi</t>
        </is>
      </c>
      <c r="Y205" s="3" t="inlineStr">
        <is>
          <t>South</t>
        </is>
      </c>
      <c r="Z205" s="3" t="inlineStr">
        <is>
          <t>Chennai</t>
        </is>
      </c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5" t="n">
        <v>0</v>
      </c>
      <c r="AL205" s="5" t="n">
        <v>0</v>
      </c>
      <c r="AM205" s="5" t="n">
        <v>0</v>
      </c>
      <c r="AN205" s="3" t="inlineStr"/>
      <c r="AO205" s="5" t="n">
        <v>0</v>
      </c>
      <c r="AP205" s="5" t="n">
        <v>0</v>
      </c>
      <c r="AQ205" s="3" t="inlineStr"/>
    </row>
    <row r="206">
      <c r="A206" s="3" t="inlineStr">
        <is>
          <t>204</t>
        </is>
      </c>
      <c r="B206" s="3" t="inlineStr">
        <is>
          <t>NGS 260208</t>
        </is>
      </c>
      <c r="C206" s="4" t="n">
        <v>46184</v>
      </c>
      <c r="D206" s="3" t="inlineStr">
        <is>
          <t>June- 2026</t>
        </is>
      </c>
      <c r="E206" s="4" t="n">
        <v>46185</v>
      </c>
      <c r="F206" s="3" t="inlineStr">
        <is>
          <t>Dr. Subodh Kumar</t>
        </is>
      </c>
      <c r="G206" s="3" t="inlineStr">
        <is>
          <t>Drde Gwalior</t>
        </is>
      </c>
      <c r="H206" s="3" t="inlineStr">
        <is>
          <t>Drde Gwalior</t>
        </is>
      </c>
      <c r="I206" s="3" t="inlineStr">
        <is>
          <t>subodhgwl@gmail.com</t>
        </is>
      </c>
      <c r="J206" s="3" t="inlineStr">
        <is>
          <t>9435508629</t>
        </is>
      </c>
      <c r="K206" s="3" t="inlineStr">
        <is>
          <t>Shotgun Whole Genome Metagenomics &amp; Analysis On Illumina Platform</t>
        </is>
      </c>
      <c r="L206" s="3" t="inlineStr">
        <is>
          <t>DNA</t>
        </is>
      </c>
      <c r="M206" s="3" t="inlineStr">
        <is>
          <t>Shotgun</t>
        </is>
      </c>
      <c r="N206" s="3" t="inlineStr">
        <is>
          <t xml:space="preserve">With Analysis </t>
        </is>
      </c>
      <c r="O206" s="3" t="n">
        <v>12</v>
      </c>
      <c r="P206" s="3" t="inlineStr">
        <is>
          <t>8 -10 Gb /Sample</t>
        </is>
      </c>
      <c r="Q206" s="3" t="n">
        <v>10</v>
      </c>
      <c r="R206" s="3" t="n">
        <v>120</v>
      </c>
      <c r="S206" s="3" t="n">
        <v>5700</v>
      </c>
      <c r="T206" s="5" t="n">
        <v>68400</v>
      </c>
      <c r="U206" s="5" t="n">
        <v>12312</v>
      </c>
      <c r="V206" s="5" t="n">
        <v>80712</v>
      </c>
      <c r="W206" s="3" t="inlineStr">
        <is>
          <t>GEMC-511687713136482</t>
        </is>
      </c>
      <c r="X206" s="3" t="inlineStr">
        <is>
          <t xml:space="preserve">Harsh </t>
        </is>
      </c>
      <c r="Y206" s="3" t="inlineStr">
        <is>
          <t>Mp</t>
        </is>
      </c>
      <c r="Z206" s="3" t="inlineStr">
        <is>
          <t>Gwalior</t>
        </is>
      </c>
      <c r="AA206" s="3" t="n">
        <v>10</v>
      </c>
      <c r="AB206" s="3" t="n">
        <v>2</v>
      </c>
      <c r="AC206" s="3" t="inlineStr"/>
      <c r="AD206" s="3" t="inlineStr"/>
      <c r="AE206" s="3" t="inlineStr">
        <is>
          <t>141</t>
        </is>
      </c>
      <c r="AF206" s="3" t="inlineStr"/>
      <c r="AG206" s="3" t="inlineStr"/>
      <c r="AH206" s="3" t="inlineStr"/>
      <c r="AI206" s="3" t="inlineStr"/>
      <c r="AJ206" s="3" t="inlineStr"/>
      <c r="AK206" s="5" t="n">
        <v>57000</v>
      </c>
      <c r="AL206" s="5" t="n">
        <v>10260</v>
      </c>
      <c r="AM206" s="5" t="n">
        <v>67260</v>
      </c>
      <c r="AN206" s="3" t="inlineStr"/>
      <c r="AO206" s="5" t="n">
        <v>0</v>
      </c>
      <c r="AP206" s="5" t="n">
        <v>-67260</v>
      </c>
      <c r="AQ206" s="3" t="inlineStr"/>
    </row>
    <row r="207">
      <c r="A207" s="3" t="inlineStr">
        <is>
          <t>205</t>
        </is>
      </c>
      <c r="B207" s="3" t="inlineStr">
        <is>
          <t>NGS 260209</t>
        </is>
      </c>
      <c r="C207" s="4" t="n">
        <v>46185</v>
      </c>
      <c r="D207" s="3" t="inlineStr">
        <is>
          <t>June- 2026</t>
        </is>
      </c>
      <c r="E207" s="4" t="n">
        <v>46188</v>
      </c>
      <c r="F207" s="3" t="inlineStr">
        <is>
          <t>Dr. Deva Magendhra Rao</t>
        </is>
      </c>
      <c r="G207" s="3" t="inlineStr">
        <is>
          <t>Cancer Institute Wia</t>
        </is>
      </c>
      <c r="H207" s="3" t="inlineStr">
        <is>
          <t>Cancer Institute Wia</t>
        </is>
      </c>
      <c r="I207" s="3" t="inlineStr">
        <is>
          <t>hemarajan2997@gmail.com; akdmr26newgeneite@gmail.com</t>
        </is>
      </c>
      <c r="J207" s="3" t="inlineStr">
        <is>
          <t>7868835676</t>
        </is>
      </c>
      <c r="K207" s="3" t="inlineStr">
        <is>
          <t>Whole Exome Sequencing On Illumina Novaseq X Plus Platform</t>
        </is>
      </c>
      <c r="L207" s="3" t="inlineStr">
        <is>
          <t>DNA</t>
        </is>
      </c>
      <c r="M207" s="3" t="inlineStr">
        <is>
          <t>Wes Seq</t>
        </is>
      </c>
      <c r="N207" s="3" t="inlineStr">
        <is>
          <t xml:space="preserve">Without Analysis </t>
        </is>
      </c>
      <c r="O207" s="3" t="n">
        <v>12</v>
      </c>
      <c r="P207" s="3" t="inlineStr">
        <is>
          <t>8-10 GB/Sample</t>
        </is>
      </c>
      <c r="Q207" s="3" t="n">
        <v>10</v>
      </c>
      <c r="R207" s="3" t="n">
        <v>120</v>
      </c>
      <c r="S207" s="3" t="n">
        <v>10000</v>
      </c>
      <c r="T207" s="5" t="n">
        <v>120000</v>
      </c>
      <c r="U207" s="5" t="n">
        <v>21600</v>
      </c>
      <c r="V207" s="5" t="n">
        <v>141600</v>
      </c>
      <c r="W207" s="3" t="inlineStr">
        <is>
          <t>UG/NGS/TP/2603597</t>
        </is>
      </c>
      <c r="X207" s="3" t="inlineStr">
        <is>
          <t xml:space="preserve">Harsh </t>
        </is>
      </c>
      <c r="Y207" s="3" t="inlineStr">
        <is>
          <t>South</t>
        </is>
      </c>
      <c r="Z207" s="3" t="inlineStr">
        <is>
          <t>Chennai</t>
        </is>
      </c>
      <c r="AA207" s="3" t="n">
        <v>10</v>
      </c>
      <c r="AB207" s="3" t="n">
        <v>2</v>
      </c>
      <c r="AC207" s="4" t="n">
        <v>46200</v>
      </c>
      <c r="AD207" s="3" t="n">
        <v>12</v>
      </c>
      <c r="AE207" s="3" t="inlineStr">
        <is>
          <t>141</t>
        </is>
      </c>
      <c r="AF207" s="3" t="inlineStr"/>
      <c r="AG207" s="3" t="inlineStr"/>
      <c r="AH207" s="3" t="inlineStr"/>
      <c r="AI207" s="3" t="inlineStr"/>
      <c r="AJ207" s="3" t="inlineStr"/>
      <c r="AK207" s="5" t="n">
        <v>100000</v>
      </c>
      <c r="AL207" s="5" t="n">
        <v>18000</v>
      </c>
      <c r="AM207" s="5" t="n">
        <v>118000</v>
      </c>
      <c r="AN207" s="3" t="inlineStr"/>
      <c r="AO207" s="5" t="n">
        <v>0</v>
      </c>
      <c r="AP207" s="5" t="n">
        <v>-118000</v>
      </c>
      <c r="AQ207" s="3" t="inlineStr"/>
    </row>
    <row r="208">
      <c r="A208" s="3" t="inlineStr">
        <is>
          <t>206</t>
        </is>
      </c>
      <c r="B208" s="3" t="inlineStr">
        <is>
          <t>NGS 260210</t>
        </is>
      </c>
      <c r="C208" s="4" t="n">
        <v>46185</v>
      </c>
      <c r="D208" s="3" t="inlineStr">
        <is>
          <t>June- 2026</t>
        </is>
      </c>
      <c r="E208" s="4" t="n">
        <v>46188</v>
      </c>
      <c r="F208" s="3" t="inlineStr">
        <is>
          <t>Dr. Deva Magendhra Rao</t>
        </is>
      </c>
      <c r="G208" s="3" t="inlineStr">
        <is>
          <t>Cancer Institute Wia</t>
        </is>
      </c>
      <c r="H208" s="3" t="inlineStr">
        <is>
          <t>Cancer Institute Wia</t>
        </is>
      </c>
      <c r="I208" s="3" t="inlineStr">
        <is>
          <t>hemarajan2997@gmail.com; akdmr26newgeneite@gmail.com</t>
        </is>
      </c>
      <c r="J208" s="3" t="inlineStr">
        <is>
          <t>7868835676</t>
        </is>
      </c>
      <c r="K208" s="3" t="inlineStr">
        <is>
          <t>Whole Transcriptome Sequencing On Illumina Novaseq X Plus Platform (Ribodepletion)</t>
        </is>
      </c>
      <c r="L208" s="3" t="inlineStr">
        <is>
          <t>RNA</t>
        </is>
      </c>
      <c r="M208" s="3" t="inlineStr">
        <is>
          <t>Wts Seq</t>
        </is>
      </c>
      <c r="N208" s="3" t="inlineStr">
        <is>
          <t xml:space="preserve">Without Analysis </t>
        </is>
      </c>
      <c r="O208" s="3" t="n">
        <v>10</v>
      </c>
      <c r="P208" s="3" t="inlineStr">
        <is>
          <t>30 GB/Sample</t>
        </is>
      </c>
      <c r="Q208" s="3" t="n">
        <v>30</v>
      </c>
      <c r="R208" s="3" t="n">
        <v>300</v>
      </c>
      <c r="S208" s="3" t="n">
        <v>21000</v>
      </c>
      <c r="T208" s="5" t="n">
        <v>210000</v>
      </c>
      <c r="U208" s="5" t="n">
        <v>37800</v>
      </c>
      <c r="V208" s="5" t="n">
        <v>247800</v>
      </c>
      <c r="W208" s="3" t="inlineStr">
        <is>
          <t>UG/NGS/TP/2603598</t>
        </is>
      </c>
      <c r="X208" s="3" t="inlineStr">
        <is>
          <t xml:space="preserve">Harsh </t>
        </is>
      </c>
      <c r="Y208" s="3" t="inlineStr">
        <is>
          <t>South</t>
        </is>
      </c>
      <c r="Z208" s="3" t="inlineStr">
        <is>
          <t>Chennai</t>
        </is>
      </c>
      <c r="AA208" s="3" t="n">
        <v>10</v>
      </c>
      <c r="AB208" s="3" t="n">
        <v>0</v>
      </c>
      <c r="AC208" s="4" t="n">
        <v>46200</v>
      </c>
      <c r="AD208" s="3" t="n">
        <v>12</v>
      </c>
      <c r="AE208" s="3" t="inlineStr">
        <is>
          <t>139 &amp;141</t>
        </is>
      </c>
      <c r="AF208" s="3" t="inlineStr"/>
      <c r="AG208" s="3" t="inlineStr"/>
      <c r="AH208" s="3" t="inlineStr"/>
      <c r="AI208" s="3" t="inlineStr"/>
      <c r="AJ208" s="3" t="inlineStr"/>
      <c r="AK208" s="5" t="n">
        <v>210000</v>
      </c>
      <c r="AL208" s="5" t="n">
        <v>37800</v>
      </c>
      <c r="AM208" s="5" t="n">
        <v>247800</v>
      </c>
      <c r="AN208" s="3" t="inlineStr"/>
      <c r="AO208" s="5" t="n">
        <v>0</v>
      </c>
      <c r="AP208" s="5" t="n">
        <v>-247800</v>
      </c>
      <c r="AQ208" s="3" t="inlineStr"/>
    </row>
    <row r="209">
      <c r="A209" s="3" t="inlineStr">
        <is>
          <t>207</t>
        </is>
      </c>
      <c r="B209" s="3" t="inlineStr">
        <is>
          <t>NGS 260211</t>
        </is>
      </c>
      <c r="C209" s="4" t="n">
        <v>46185</v>
      </c>
      <c r="D209" s="3" t="inlineStr">
        <is>
          <t>June- 2026</t>
        </is>
      </c>
      <c r="E209" s="4" t="n">
        <v>46189</v>
      </c>
      <c r="F209" s="3" t="inlineStr">
        <is>
          <t>Mr Rohit</t>
        </is>
      </c>
      <c r="G209" s="3" t="inlineStr">
        <is>
          <t>Gene Bio Solution</t>
        </is>
      </c>
      <c r="H209" s="3" t="inlineStr">
        <is>
          <t>Gene Bio Solution</t>
        </is>
      </c>
      <c r="I209" s="3" t="inlineStr">
        <is>
          <t>infogenebio@gmail.com</t>
        </is>
      </c>
      <c r="J209" s="3" t="inlineStr"/>
      <c r="K209" s="3" t="inlineStr">
        <is>
          <t>Whole Genome Re-Sequencing Of Illumina Novaseq X Plus Platform</t>
        </is>
      </c>
      <c r="L209" s="3" t="inlineStr">
        <is>
          <t>Blood</t>
        </is>
      </c>
      <c r="M209" s="3" t="inlineStr">
        <is>
          <t>Wgs Seq</t>
        </is>
      </c>
      <c r="N209" s="3" t="inlineStr">
        <is>
          <t xml:space="preserve">With Analysis </t>
        </is>
      </c>
      <c r="O209" s="3" t="n">
        <v>3</v>
      </c>
      <c r="P209" s="3" t="inlineStr">
        <is>
          <t>100 GB/Sample</t>
        </is>
      </c>
      <c r="Q209" s="3" t="n">
        <v>100</v>
      </c>
      <c r="R209" s="3" t="n">
        <v>300</v>
      </c>
      <c r="S209" s="3" t="n">
        <v>55000</v>
      </c>
      <c r="T209" s="5" t="n">
        <v>165000</v>
      </c>
      <c r="U209" s="5" t="n">
        <v>29700</v>
      </c>
      <c r="V209" s="5" t="n">
        <v>194700</v>
      </c>
      <c r="W209" s="3" t="inlineStr">
        <is>
          <t>UG/NGS/TP/2606758</t>
        </is>
      </c>
      <c r="X209" s="3" t="inlineStr">
        <is>
          <t>Direct</t>
        </is>
      </c>
      <c r="Y209" s="3" t="inlineStr">
        <is>
          <t>North</t>
        </is>
      </c>
      <c r="Z209" s="3" t="inlineStr">
        <is>
          <t>Dehradun</t>
        </is>
      </c>
      <c r="AA209" s="3" t="n">
        <v>3</v>
      </c>
      <c r="AB209" s="3" t="n">
        <v>0</v>
      </c>
      <c r="AC209" s="4" t="n">
        <v>46200</v>
      </c>
      <c r="AD209" s="3" t="n">
        <v>11</v>
      </c>
      <c r="AE209" s="3" t="inlineStr">
        <is>
          <t>139</t>
        </is>
      </c>
      <c r="AF209" s="3" t="inlineStr"/>
      <c r="AG209" s="3" t="inlineStr"/>
      <c r="AH209" s="3" t="inlineStr"/>
      <c r="AI209" s="3" t="inlineStr"/>
      <c r="AJ209" s="3" t="inlineStr"/>
      <c r="AK209" s="5" t="n">
        <v>165000</v>
      </c>
      <c r="AL209" s="5" t="n">
        <v>29700</v>
      </c>
      <c r="AM209" s="5" t="n">
        <v>194700</v>
      </c>
      <c r="AN209" s="3" t="inlineStr"/>
      <c r="AO209" s="5" t="n">
        <v>0</v>
      </c>
      <c r="AP209" s="5" t="n">
        <v>-194700</v>
      </c>
      <c r="AQ209" s="3" t="inlineStr"/>
    </row>
    <row r="210">
      <c r="A210" s="3" t="inlineStr">
        <is>
          <t>208</t>
        </is>
      </c>
      <c r="B210" s="3" t="inlineStr">
        <is>
          <t>NGS 260212</t>
        </is>
      </c>
      <c r="C210" s="4" t="n">
        <v>46185</v>
      </c>
      <c r="D210" s="3" t="inlineStr">
        <is>
          <t>June- 2026</t>
        </is>
      </c>
      <c r="E210" s="4" t="n">
        <v>46189</v>
      </c>
      <c r="F210" s="3" t="inlineStr">
        <is>
          <t>Mr.Digil</t>
        </is>
      </c>
      <c r="G210" s="3" t="inlineStr">
        <is>
          <t>Geno Connect Services Private Limited</t>
        </is>
      </c>
      <c r="H210" s="3" t="inlineStr">
        <is>
          <t>Geno Connect Services Private Limited</t>
        </is>
      </c>
      <c r="I210" s="3" t="inlineStr">
        <is>
          <t>Genoconnect.pvt.ltd@gmail.com</t>
        </is>
      </c>
      <c r="J210" s="3" t="inlineStr">
        <is>
          <t>9400039514</t>
        </is>
      </c>
      <c r="K210" s="3" t="inlineStr">
        <is>
          <t>Low Pass Whole Genome Sequencing On Illumina Novaseq X Plus Platform</t>
        </is>
      </c>
      <c r="L210" s="3" t="inlineStr">
        <is>
          <t>Swab Samples</t>
        </is>
      </c>
      <c r="M210" s="3" t="inlineStr">
        <is>
          <t>Low Pass Wgs</t>
        </is>
      </c>
      <c r="N210" s="3" t="inlineStr">
        <is>
          <t xml:space="preserve">Without Analysis </t>
        </is>
      </c>
      <c r="O210" s="3" t="n">
        <v>1</v>
      </c>
      <c r="P210" s="3" t="inlineStr">
        <is>
          <t>15 GB/sample (5 X Coverage)</t>
        </is>
      </c>
      <c r="Q210" s="3" t="n">
        <v>15</v>
      </c>
      <c r="R210" s="3" t="n">
        <v>15</v>
      </c>
      <c r="S210" s="3" t="n">
        <v>8000</v>
      </c>
      <c r="T210" s="5" t="n">
        <v>8000</v>
      </c>
      <c r="U210" s="5" t="n">
        <v>1440</v>
      </c>
      <c r="V210" s="5" t="n">
        <v>9440</v>
      </c>
      <c r="W210" s="3" t="inlineStr">
        <is>
          <t>UG/NGS/TP/2512388R1</t>
        </is>
      </c>
      <c r="X210" s="3" t="inlineStr">
        <is>
          <t>Direct</t>
        </is>
      </c>
      <c r="Y210" s="3" t="inlineStr">
        <is>
          <t>South</t>
        </is>
      </c>
      <c r="Z210" s="3" t="inlineStr">
        <is>
          <t>Kozhikode</t>
        </is>
      </c>
      <c r="AA210" s="3" t="n">
        <v>1</v>
      </c>
      <c r="AB210" s="3" t="n">
        <v>0</v>
      </c>
      <c r="AC210" s="4" t="n">
        <v>46200</v>
      </c>
      <c r="AD210" s="3" t="n">
        <v>11</v>
      </c>
      <c r="AE210" s="3" t="inlineStr">
        <is>
          <t>139</t>
        </is>
      </c>
      <c r="AF210" s="3" t="inlineStr"/>
      <c r="AG210" s="3" t="inlineStr"/>
      <c r="AH210" s="3" t="inlineStr"/>
      <c r="AI210" s="3" t="inlineStr"/>
      <c r="AJ210" s="3" t="inlineStr"/>
      <c r="AK210" s="5" t="n">
        <v>8000</v>
      </c>
      <c r="AL210" s="5" t="n">
        <v>1440</v>
      </c>
      <c r="AM210" s="5" t="n">
        <v>9440</v>
      </c>
      <c r="AN210" s="3" t="inlineStr"/>
      <c r="AO210" s="5" t="n">
        <v>0</v>
      </c>
      <c r="AP210" s="5" t="n">
        <v>-9440</v>
      </c>
      <c r="AQ210" s="3" t="inlineStr"/>
    </row>
    <row r="211">
      <c r="A211" s="3" t="inlineStr">
        <is>
          <t>209</t>
        </is>
      </c>
      <c r="B211" s="3" t="inlineStr">
        <is>
          <t>NGS 260213</t>
        </is>
      </c>
      <c r="C211" s="4" t="n">
        <v>46188</v>
      </c>
      <c r="D211" s="3" t="inlineStr">
        <is>
          <t>June- 2026</t>
        </is>
      </c>
      <c r="E211" s="4" t="n">
        <v>46188</v>
      </c>
      <c r="F211" s="3" t="inlineStr">
        <is>
          <t>Sudharson Narayanan</t>
        </is>
      </c>
      <c r="G211" s="3" t="inlineStr">
        <is>
          <t>Symbiont Life Sciences</t>
        </is>
      </c>
      <c r="H211" s="3" t="inlineStr">
        <is>
          <t>Symbiont Life Sciences</t>
        </is>
      </c>
      <c r="I211" s="3" t="inlineStr">
        <is>
          <t>symbiontcs@gmail.com</t>
        </is>
      </c>
      <c r="J211" s="3" t="inlineStr">
        <is>
          <t>8838222756</t>
        </is>
      </c>
      <c r="K211" s="3" t="inlineStr">
        <is>
          <t>Reference-Based RNA Sequencing On Illumina Novaseq X Plus Platform With Standard Bioinformatics Analysis</t>
        </is>
      </c>
      <c r="L211" s="3" t="inlineStr">
        <is>
          <t>Fish Larvae</t>
        </is>
      </c>
      <c r="M211" s="3" t="inlineStr">
        <is>
          <t>RNA Seq</t>
        </is>
      </c>
      <c r="N211" s="3" t="inlineStr">
        <is>
          <t xml:space="preserve">With Analysis </t>
        </is>
      </c>
      <c r="O211" s="3" t="n">
        <v>9</v>
      </c>
      <c r="P211" s="3" t="inlineStr">
        <is>
          <t>6 GB /Sample</t>
        </is>
      </c>
      <c r="Q211" s="3" t="n">
        <v>6</v>
      </c>
      <c r="R211" s="3" t="n">
        <v>54</v>
      </c>
      <c r="S211" s="3" t="n">
        <v>12000</v>
      </c>
      <c r="T211" s="5" t="n">
        <v>108000</v>
      </c>
      <c r="U211" s="5" t="n">
        <v>19440</v>
      </c>
      <c r="V211" s="5" t="n">
        <v>127440</v>
      </c>
      <c r="W211" s="3" t="inlineStr">
        <is>
          <t>UG/NGS/TP/2606765</t>
        </is>
      </c>
      <c r="X211" s="3" t="inlineStr">
        <is>
          <t>Pugalendhi</t>
        </is>
      </c>
      <c r="Y211" s="3" t="inlineStr">
        <is>
          <t>South</t>
        </is>
      </c>
      <c r="Z211" s="3" t="inlineStr">
        <is>
          <t>Chennai</t>
        </is>
      </c>
      <c r="AA211" s="3" t="n">
        <v>0</v>
      </c>
      <c r="AB211" s="3" t="n">
        <v>9</v>
      </c>
      <c r="AC211" s="4" t="n">
        <v>46206</v>
      </c>
      <c r="AD211" s="3" t="n">
        <v>18</v>
      </c>
      <c r="AE211" s="3" t="inlineStr"/>
      <c r="AF211" s="3" t="inlineStr"/>
      <c r="AG211" s="3" t="inlineStr"/>
      <c r="AH211" s="3" t="inlineStr"/>
      <c r="AI211" s="3" t="inlineStr"/>
      <c r="AJ211" s="3" t="inlineStr"/>
      <c r="AK211" s="5" t="n">
        <v>0</v>
      </c>
      <c r="AL211" s="5" t="n">
        <v>0</v>
      </c>
      <c r="AM211" s="5" t="n">
        <v>0</v>
      </c>
      <c r="AN211" s="3" t="inlineStr"/>
      <c r="AO211" s="5" t="n">
        <v>0</v>
      </c>
      <c r="AP211" s="5" t="n">
        <v>0</v>
      </c>
      <c r="AQ211" s="3" t="inlineStr"/>
    </row>
    <row r="212">
      <c r="A212" s="3" t="inlineStr">
        <is>
          <t>210</t>
        </is>
      </c>
      <c r="B212" s="3" t="inlineStr">
        <is>
          <t>NGS 260214</t>
        </is>
      </c>
      <c r="C212" s="4" t="n">
        <v>46188</v>
      </c>
      <c r="D212" s="3" t="inlineStr">
        <is>
          <t>June- 2026</t>
        </is>
      </c>
      <c r="E212" s="4" t="n">
        <v>46188</v>
      </c>
      <c r="F212" s="3" t="inlineStr">
        <is>
          <t>Mr.Digil</t>
        </is>
      </c>
      <c r="G212" s="3" t="inlineStr">
        <is>
          <t>Geno Connect Services Private Limited</t>
        </is>
      </c>
      <c r="H212" s="3" t="inlineStr">
        <is>
          <t>Geno Connect Services Private Limited</t>
        </is>
      </c>
      <c r="I212" s="3" t="inlineStr">
        <is>
          <t>Genoconnect.pvt.ltd@gmail.com</t>
        </is>
      </c>
      <c r="J212" s="3" t="inlineStr">
        <is>
          <t>9400039514</t>
        </is>
      </c>
      <c r="K212" s="3" t="inlineStr">
        <is>
          <t>Low Pass Whole Genome Sequencing On Illumina Novaseq X Plus Platform</t>
        </is>
      </c>
      <c r="L212" s="3" t="inlineStr">
        <is>
          <t>Swab Samples</t>
        </is>
      </c>
      <c r="M212" s="3" t="inlineStr">
        <is>
          <t>Low Pass Wgs</t>
        </is>
      </c>
      <c r="N212" s="3" t="inlineStr">
        <is>
          <t xml:space="preserve">Without Analysis </t>
        </is>
      </c>
      <c r="O212" s="3" t="n">
        <v>1</v>
      </c>
      <c r="P212" s="3" t="inlineStr">
        <is>
          <t>15 GB/sample (5 X Coverage)</t>
        </is>
      </c>
      <c r="Q212" s="3" t="n">
        <v>15</v>
      </c>
      <c r="R212" s="3" t="n">
        <v>15</v>
      </c>
      <c r="S212" s="3" t="n">
        <v>8000</v>
      </c>
      <c r="T212" s="5" t="n">
        <v>8000</v>
      </c>
      <c r="U212" s="5" t="n">
        <v>1440</v>
      </c>
      <c r="V212" s="5" t="n">
        <v>9440</v>
      </c>
      <c r="W212" s="3" t="inlineStr">
        <is>
          <t>UG/NGS/TP/2512388R1</t>
        </is>
      </c>
      <c r="X212" s="3" t="inlineStr">
        <is>
          <t>Direct</t>
        </is>
      </c>
      <c r="Y212" s="3" t="inlineStr">
        <is>
          <t>South</t>
        </is>
      </c>
      <c r="Z212" s="3" t="inlineStr">
        <is>
          <t>Kozhikode</t>
        </is>
      </c>
      <c r="AA212" s="3" t="n">
        <v>1</v>
      </c>
      <c r="AB212" s="3" t="n">
        <v>0</v>
      </c>
      <c r="AC212" s="4" t="n">
        <v>46200</v>
      </c>
      <c r="AD212" s="3" t="n">
        <v>12</v>
      </c>
      <c r="AE212" s="3" t="inlineStr"/>
      <c r="AF212" s="3" t="inlineStr"/>
      <c r="AG212" s="3" t="inlineStr"/>
      <c r="AH212" s="3" t="inlineStr"/>
      <c r="AI212" s="3" t="inlineStr"/>
      <c r="AJ212" s="3" t="inlineStr"/>
      <c r="AK212" s="5" t="n">
        <v>8000</v>
      </c>
      <c r="AL212" s="5" t="n">
        <v>1440</v>
      </c>
      <c r="AM212" s="5" t="n">
        <v>9440</v>
      </c>
      <c r="AN212" s="3" t="inlineStr"/>
      <c r="AO212" s="5" t="n">
        <v>0</v>
      </c>
      <c r="AP212" s="5" t="n">
        <v>-9440</v>
      </c>
      <c r="AQ212" s="3" t="inlineStr"/>
    </row>
    <row r="213">
      <c r="A213" s="3" t="inlineStr">
        <is>
          <t>211</t>
        </is>
      </c>
      <c r="B213" s="3" t="inlineStr">
        <is>
          <t>NGS 260215</t>
        </is>
      </c>
      <c r="C213" s="4" t="n">
        <v>46192</v>
      </c>
      <c r="D213" s="3" t="inlineStr">
        <is>
          <t>June- 2026</t>
        </is>
      </c>
      <c r="E213" s="4" t="n">
        <v>46192</v>
      </c>
      <c r="F213" s="3" t="inlineStr">
        <is>
          <t>Dr. Ravi Maruthachalam</t>
        </is>
      </c>
      <c r="G213" s="3" t="inlineStr">
        <is>
          <t>Iiser Tvm</t>
        </is>
      </c>
      <c r="H213" s="3" t="inlineStr">
        <is>
          <t>Iiser Tvm</t>
        </is>
      </c>
      <c r="I213" s="3" t="inlineStr">
        <is>
          <t>ravi@iisertvm.ac.in</t>
        </is>
      </c>
      <c r="J213" s="3" t="inlineStr">
        <is>
          <t>8178922253</t>
        </is>
      </c>
      <c r="K213" s="3" t="inlineStr">
        <is>
          <t>RNA Sequencing &amp; Analysis On Illumina Novaseq X Plus Platform</t>
        </is>
      </c>
      <c r="L213" s="3" t="inlineStr">
        <is>
          <t>Leaf Tissue</t>
        </is>
      </c>
      <c r="M213" s="3" t="inlineStr">
        <is>
          <t>RNA Seq</t>
        </is>
      </c>
      <c r="N213" s="3" t="inlineStr">
        <is>
          <t>With Analysis</t>
        </is>
      </c>
      <c r="O213" s="3" t="n">
        <v>8</v>
      </c>
      <c r="P213" s="3" t="inlineStr">
        <is>
          <t>5-6 GB/Sample</t>
        </is>
      </c>
      <c r="Q213" s="3" t="n">
        <v>6</v>
      </c>
      <c r="R213" s="3" t="n">
        <v>48</v>
      </c>
      <c r="S213" s="3" t="n">
        <v>13000</v>
      </c>
      <c r="T213" s="5" t="n">
        <v>104000</v>
      </c>
      <c r="U213" s="5" t="n">
        <v>18720</v>
      </c>
      <c r="V213" s="5" t="n">
        <v>122720</v>
      </c>
      <c r="W213" s="3" t="inlineStr">
        <is>
          <t>UG/NGS/TP/2511311R4</t>
        </is>
      </c>
      <c r="X213" s="3" t="inlineStr">
        <is>
          <t xml:space="preserve">Theertha </t>
        </is>
      </c>
      <c r="Y213" s="3" t="inlineStr">
        <is>
          <t>South</t>
        </is>
      </c>
      <c r="Z213" s="3" t="inlineStr">
        <is>
          <t>Thiruvananthapuram</t>
        </is>
      </c>
      <c r="AA213" s="3" t="n">
        <v>8</v>
      </c>
      <c r="AB213" s="3" t="n">
        <v>0</v>
      </c>
      <c r="AC213" s="4" t="n">
        <v>46198</v>
      </c>
      <c r="AD213" s="3" t="n">
        <v>6</v>
      </c>
      <c r="AE213" s="3" t="inlineStr">
        <is>
          <t>139</t>
        </is>
      </c>
      <c r="AF213" s="3" t="inlineStr"/>
      <c r="AG213" s="3" t="inlineStr"/>
      <c r="AH213" s="3" t="inlineStr"/>
      <c r="AI213" s="3" t="inlineStr"/>
      <c r="AJ213" s="3" t="inlineStr"/>
      <c r="AK213" s="5" t="n">
        <v>104000</v>
      </c>
      <c r="AL213" s="5" t="n">
        <v>18720</v>
      </c>
      <c r="AM213" s="5" t="n">
        <v>122720</v>
      </c>
      <c r="AN213" s="3" t="inlineStr"/>
      <c r="AO213" s="5" t="n">
        <v>0</v>
      </c>
      <c r="AP213" s="5" t="n">
        <v>-122720</v>
      </c>
      <c r="AQ213" s="3" t="inlineStr"/>
    </row>
    <row r="214">
      <c r="A214" s="3" t="inlineStr">
        <is>
          <t>212</t>
        </is>
      </c>
      <c r="B214" s="3" t="inlineStr">
        <is>
          <t>NGS 260216</t>
        </is>
      </c>
      <c r="C214" s="4" t="n">
        <v>46193</v>
      </c>
      <c r="D214" s="3" t="inlineStr">
        <is>
          <t>June- 2026</t>
        </is>
      </c>
      <c r="E214" s="4" t="n">
        <v>46196</v>
      </c>
      <c r="F214" s="3" t="inlineStr">
        <is>
          <t>Dr. Vikram Mathews</t>
        </is>
      </c>
      <c r="G214" s="3" t="inlineStr">
        <is>
          <t>Cmc Vellore</t>
        </is>
      </c>
      <c r="H214" s="3" t="inlineStr">
        <is>
          <t>Cmc Vellore</t>
        </is>
      </c>
      <c r="I214" s="3" t="inlineStr">
        <is>
          <t>vikram@cmcvellore.ac.in</t>
        </is>
      </c>
      <c r="J214" s="3" t="inlineStr">
        <is>
          <t>8968754929</t>
        </is>
      </c>
      <c r="K214" s="3" t="inlineStr">
        <is>
          <t>Myeloid Panel (DNA Only) 90 Genes On Illumina Platform</t>
        </is>
      </c>
      <c r="L214" s="3" t="inlineStr">
        <is>
          <t>DNA</t>
        </is>
      </c>
      <c r="M214" s="3" t="inlineStr">
        <is>
          <t>Myeloid</t>
        </is>
      </c>
      <c r="N214" s="3" t="inlineStr">
        <is>
          <t>With Analysis</t>
        </is>
      </c>
      <c r="O214" s="3" t="n">
        <v>107</v>
      </c>
      <c r="P214" s="3" t="inlineStr"/>
      <c r="Q214" s="3" t="inlineStr"/>
      <c r="R214" s="3" t="n">
        <v>0</v>
      </c>
      <c r="S214" s="3" t="n">
        <v>7000</v>
      </c>
      <c r="T214" s="5" t="n">
        <v>749000</v>
      </c>
      <c r="U214" s="5" t="n">
        <v>134820</v>
      </c>
      <c r="V214" s="5" t="n">
        <v>883820</v>
      </c>
      <c r="W214" s="3" t="inlineStr">
        <is>
          <t>UG/NGS/TP/2606768</t>
        </is>
      </c>
      <c r="X214" s="3" t="inlineStr">
        <is>
          <t>Pugalendhi</t>
        </is>
      </c>
      <c r="Y214" s="3" t="inlineStr">
        <is>
          <t>South</t>
        </is>
      </c>
      <c r="Z214" s="3" t="inlineStr">
        <is>
          <t>Vellore</t>
        </is>
      </c>
      <c r="AA214" s="3" t="n">
        <v>107</v>
      </c>
      <c r="AB214" s="3" t="n">
        <v>0</v>
      </c>
      <c r="AC214" s="4" t="n">
        <v>46202</v>
      </c>
      <c r="AD214" s="3" t="n">
        <v>6</v>
      </c>
      <c r="AE214" s="3" t="inlineStr"/>
      <c r="AF214" s="3" t="inlineStr"/>
      <c r="AG214" s="3" t="inlineStr"/>
      <c r="AH214" s="3" t="inlineStr"/>
      <c r="AI214" s="3" t="inlineStr"/>
      <c r="AJ214" s="3" t="inlineStr"/>
      <c r="AK214" s="5" t="n">
        <v>749000</v>
      </c>
      <c r="AL214" s="5" t="n">
        <v>134820</v>
      </c>
      <c r="AM214" s="5" t="n">
        <v>883820</v>
      </c>
      <c r="AN214" s="3" t="inlineStr"/>
      <c r="AO214" s="5" t="n">
        <v>0</v>
      </c>
      <c r="AP214" s="5" t="n">
        <v>-883820</v>
      </c>
      <c r="AQ214" s="3" t="inlineStr"/>
    </row>
    <row r="215">
      <c r="A215" s="3" t="inlineStr">
        <is>
          <t>213</t>
        </is>
      </c>
      <c r="B215" s="3" t="inlineStr">
        <is>
          <t>NGS 260217</t>
        </is>
      </c>
      <c r="C215" s="4" t="n">
        <v>46193</v>
      </c>
      <c r="D215" s="3" t="inlineStr">
        <is>
          <t>June- 2026</t>
        </is>
      </c>
      <c r="E215" s="4" t="n">
        <v>46196</v>
      </c>
      <c r="F215" s="3" t="inlineStr">
        <is>
          <t>Dr. M.B. Mohamed Sathik</t>
        </is>
      </c>
      <c r="G215" s="3" t="inlineStr">
        <is>
          <t>Rrii,Kottayam</t>
        </is>
      </c>
      <c r="H215" s="3" t="inlineStr">
        <is>
          <t>Rrii,Kottayam</t>
        </is>
      </c>
      <c r="I215" s="3" t="inlineStr">
        <is>
          <t>sathik@rubberboard.org.in; mohamed.sathik@gmail.com</t>
        </is>
      </c>
      <c r="J215" s="3" t="inlineStr">
        <is>
          <t>9447662297</t>
        </is>
      </c>
      <c r="K215" s="3" t="inlineStr">
        <is>
          <t>Small RNA Sequencing &amp; Analysis On Illumina Platform</t>
        </is>
      </c>
      <c r="L215" s="3" t="inlineStr">
        <is>
          <t>Leaf</t>
        </is>
      </c>
      <c r="M215" s="3" t="inlineStr">
        <is>
          <t>Small RNA Seq</t>
        </is>
      </c>
      <c r="N215" s="3" t="inlineStr">
        <is>
          <t>With Analysis</t>
        </is>
      </c>
      <c r="O215" s="3" t="n">
        <v>48</v>
      </c>
      <c r="P215" s="3" t="inlineStr">
        <is>
          <t>2.5 GB/sample</t>
        </is>
      </c>
      <c r="Q215" s="3" t="n">
        <v>2.5</v>
      </c>
      <c r="R215" s="3" t="n">
        <v>120</v>
      </c>
      <c r="S215" s="3" t="n">
        <v>12600</v>
      </c>
      <c r="T215" s="5" t="n">
        <v>604800</v>
      </c>
      <c r="U215" s="5" t="n">
        <v>108864</v>
      </c>
      <c r="V215" s="5" t="n">
        <v>713664</v>
      </c>
      <c r="W215" s="3" t="inlineStr">
        <is>
          <t>GEMC-511687775954844</t>
        </is>
      </c>
      <c r="X215" s="3" t="inlineStr"/>
      <c r="Y215" s="3" t="inlineStr">
        <is>
          <t>N/A</t>
        </is>
      </c>
      <c r="Z215" s="3" t="inlineStr">
        <is>
          <t>N/A</t>
        </is>
      </c>
      <c r="AA215" s="3" t="inlineStr"/>
      <c r="AB215" s="3" t="inlineStr"/>
      <c r="AC215" s="3" t="inlineStr"/>
      <c r="AD215" s="3" t="inlineStr"/>
      <c r="AE215" s="3" t="inlineStr"/>
      <c r="AF215" s="3" t="inlineStr"/>
      <c r="AG215" s="3" t="inlineStr"/>
      <c r="AH215" s="3" t="inlineStr"/>
      <c r="AI215" s="3" t="inlineStr"/>
      <c r="AJ215" s="3" t="inlineStr"/>
      <c r="AK215" s="5" t="n">
        <v>0</v>
      </c>
      <c r="AL215" s="5" t="n">
        <v>0</v>
      </c>
      <c r="AM215" s="5" t="n">
        <v>0</v>
      </c>
      <c r="AN215" s="3" t="inlineStr"/>
      <c r="AO215" s="5" t="n">
        <v>0</v>
      </c>
      <c r="AP215" s="5" t="n">
        <v>0</v>
      </c>
      <c r="AQ215" s="3" t="inlineStr"/>
    </row>
    <row r="216">
      <c r="A216" s="3" t="inlineStr">
        <is>
          <t>214</t>
        </is>
      </c>
      <c r="B216" s="3" t="inlineStr">
        <is>
          <t>NGS 260218</t>
        </is>
      </c>
      <c r="C216" s="4" t="n">
        <v>46193</v>
      </c>
      <c r="D216" s="3" t="inlineStr">
        <is>
          <t>June- 2026</t>
        </is>
      </c>
      <c r="E216" s="4" t="n">
        <v>46196</v>
      </c>
      <c r="F216" s="3" t="inlineStr">
        <is>
          <t>Dr. M.B. Mohamed Sathik</t>
        </is>
      </c>
      <c r="G216" s="3" t="inlineStr">
        <is>
          <t>Rrii,Kottayam</t>
        </is>
      </c>
      <c r="H216" s="3" t="inlineStr">
        <is>
          <t>Rrii,Kottayam</t>
        </is>
      </c>
      <c r="I216" s="3" t="inlineStr">
        <is>
          <t>sathik@rubberboard.org.in; mohamed.sathik@gmail.com</t>
        </is>
      </c>
      <c r="J216" s="3" t="inlineStr">
        <is>
          <t>9447662297</t>
        </is>
      </c>
      <c r="K216" s="3" t="inlineStr">
        <is>
          <t>Whole Transcriptome Sequencing &amp; Analysis On Illumina Platforms</t>
        </is>
      </c>
      <c r="L216" s="3" t="inlineStr">
        <is>
          <t>Leaf</t>
        </is>
      </c>
      <c r="M216" s="3" t="inlineStr">
        <is>
          <t>Wts Seq</t>
        </is>
      </c>
      <c r="N216" s="3" t="inlineStr">
        <is>
          <t>With Analysis</t>
        </is>
      </c>
      <c r="O216" s="3" t="n">
        <v>48</v>
      </c>
      <c r="P216" s="3" t="inlineStr">
        <is>
          <t>20 GB /Sample</t>
        </is>
      </c>
      <c r="Q216" s="3" t="n">
        <v>20</v>
      </c>
      <c r="R216" s="3" t="n">
        <v>960</v>
      </c>
      <c r="S216" s="3" t="n">
        <v>11450</v>
      </c>
      <c r="T216" s="5" t="n">
        <v>549600</v>
      </c>
      <c r="U216" s="5" t="n">
        <v>98928</v>
      </c>
      <c r="V216" s="5" t="n">
        <v>648528</v>
      </c>
      <c r="W216" s="3" t="inlineStr">
        <is>
          <t>GEMC-511687775954844</t>
        </is>
      </c>
      <c r="X216" s="3" t="inlineStr"/>
      <c r="Y216" s="3" t="inlineStr">
        <is>
          <t>N/A</t>
        </is>
      </c>
      <c r="Z216" s="3" t="inlineStr">
        <is>
          <t>N/A</t>
        </is>
      </c>
      <c r="AA216" s="3" t="n">
        <v>38</v>
      </c>
      <c r="AB216" s="3" t="n">
        <v>10</v>
      </c>
      <c r="AC216" s="4" t="n">
        <v>46210</v>
      </c>
      <c r="AD216" s="3" t="n">
        <v>14</v>
      </c>
      <c r="AE216" s="3" t="inlineStr"/>
      <c r="AF216" s="3" t="inlineStr"/>
      <c r="AG216" s="3" t="inlineStr"/>
      <c r="AH216" s="3" t="inlineStr"/>
      <c r="AI216" s="3" t="inlineStr"/>
      <c r="AJ216" s="3" t="inlineStr"/>
      <c r="AK216" s="5" t="n">
        <v>435100</v>
      </c>
      <c r="AL216" s="5" t="n">
        <v>78318</v>
      </c>
      <c r="AM216" s="5" t="n">
        <v>513418</v>
      </c>
      <c r="AN216" s="3" t="inlineStr"/>
      <c r="AO216" s="5" t="n">
        <v>0</v>
      </c>
      <c r="AP216" s="5" t="n">
        <v>-513418</v>
      </c>
      <c r="AQ216" s="3" t="inlineStr"/>
    </row>
    <row r="217">
      <c r="A217" s="3" t="inlineStr">
        <is>
          <t>215</t>
        </is>
      </c>
      <c r="B217" s="3" t="inlineStr">
        <is>
          <t>NGS 260219</t>
        </is>
      </c>
      <c r="C217" s="4" t="n">
        <v>46193</v>
      </c>
      <c r="D217" s="3" t="inlineStr">
        <is>
          <t>June- 2026</t>
        </is>
      </c>
      <c r="E217" s="4" t="n">
        <v>46196</v>
      </c>
      <c r="F217" s="3" t="inlineStr">
        <is>
          <t>Prof. Amit Dutt</t>
        </is>
      </c>
      <c r="G217" s="3" t="inlineStr">
        <is>
          <t>University Of Delhi South Campus</t>
        </is>
      </c>
      <c r="H217" s="3" t="inlineStr">
        <is>
          <t>University Of Delhi South Campus</t>
        </is>
      </c>
      <c r="I217" s="3" t="inlineStr">
        <is>
          <t>amitdutt@south.du.ac.in</t>
        </is>
      </c>
      <c r="J217" s="3" t="inlineStr">
        <is>
          <t>7999268637</t>
        </is>
      </c>
      <c r="K217" s="3" t="inlineStr">
        <is>
          <t>Ready To Run Library Service</t>
        </is>
      </c>
      <c r="L217" s="3" t="inlineStr">
        <is>
          <t>Library</t>
        </is>
      </c>
      <c r="M217" s="3" t="inlineStr">
        <is>
          <t>R2R</t>
        </is>
      </c>
      <c r="N217" s="3" t="inlineStr">
        <is>
          <t xml:space="preserve">Without Analysis </t>
        </is>
      </c>
      <c r="O217" s="3" t="n">
        <v>2</v>
      </c>
      <c r="P217" s="3" t="inlineStr">
        <is>
          <t>30 GB/Sample</t>
        </is>
      </c>
      <c r="Q217" s="3" t="n">
        <v>30</v>
      </c>
      <c r="R217" s="3" t="n">
        <v>60</v>
      </c>
      <c r="S217" s="3" t="n">
        <v>500</v>
      </c>
      <c r="T217" s="5" t="n">
        <v>1000</v>
      </c>
      <c r="U217" s="5" t="n">
        <v>180</v>
      </c>
      <c r="V217" s="5" t="n">
        <v>1180</v>
      </c>
      <c r="W217" s="3" t="inlineStr">
        <is>
          <t>UG/NGS/TP/2606775</t>
        </is>
      </c>
      <c r="X217" s="3" t="inlineStr"/>
      <c r="Y217" s="3" t="inlineStr">
        <is>
          <t>N/A</t>
        </is>
      </c>
      <c r="Z217" s="3" t="inlineStr">
        <is>
          <t>N/A</t>
        </is>
      </c>
      <c r="AA217" s="3" t="n">
        <v>2</v>
      </c>
      <c r="AB217" s="3" t="n">
        <v>0</v>
      </c>
      <c r="AC217" s="4" t="n">
        <v>46196</v>
      </c>
      <c r="AD217" s="3" t="n">
        <v>0</v>
      </c>
      <c r="AE217" s="3" t="inlineStr">
        <is>
          <t>139</t>
        </is>
      </c>
      <c r="AF217" s="3" t="inlineStr"/>
      <c r="AG217" s="3" t="inlineStr"/>
      <c r="AH217" s="3" t="inlineStr"/>
      <c r="AI217" s="3" t="inlineStr"/>
      <c r="AJ217" s="3" t="inlineStr"/>
      <c r="AK217" s="5" t="n">
        <v>1000</v>
      </c>
      <c r="AL217" s="5" t="n">
        <v>180</v>
      </c>
      <c r="AM217" s="5" t="n">
        <v>1180</v>
      </c>
      <c r="AN217" s="3" t="inlineStr"/>
      <c r="AO217" s="5" t="n">
        <v>0</v>
      </c>
      <c r="AP217" s="5" t="n">
        <v>-1180</v>
      </c>
      <c r="AQ217" s="3" t="inlineStr"/>
    </row>
    <row r="218">
      <c r="A218" s="3" t="inlineStr">
        <is>
          <t>216</t>
        </is>
      </c>
      <c r="B218" s="3" t="inlineStr">
        <is>
          <t>NGS 260220</t>
        </is>
      </c>
      <c r="C218" s="4" t="n">
        <v>46197</v>
      </c>
      <c r="D218" s="3" t="inlineStr">
        <is>
          <t>June- 2026</t>
        </is>
      </c>
      <c r="E218" s="4" t="n">
        <v>46198</v>
      </c>
      <c r="F218" s="3" t="inlineStr">
        <is>
          <t>Dr. Aparna Sharma</t>
        </is>
      </c>
      <c r="G218" s="3" t="inlineStr">
        <is>
          <t>Aiims - Delhi</t>
        </is>
      </c>
      <c r="H218" s="3" t="inlineStr">
        <is>
          <t>Aiims - Delhi</t>
        </is>
      </c>
      <c r="I218" s="3" t="inlineStr">
        <is>
          <t>monikachettri.aiims@gmail.com</t>
        </is>
      </c>
      <c r="J218" s="3" t="inlineStr">
        <is>
          <t>7085151778/ 84488 15621</t>
        </is>
      </c>
      <c r="K218" s="3" t="inlineStr">
        <is>
          <t>Whole Exome Sequencing On Illumina Novaseq X Plus Platform</t>
        </is>
      </c>
      <c r="L218" s="3" t="inlineStr">
        <is>
          <t>DNA</t>
        </is>
      </c>
      <c r="M218" s="3" t="inlineStr">
        <is>
          <t>Wes Seq</t>
        </is>
      </c>
      <c r="N218" s="3" t="inlineStr">
        <is>
          <t xml:space="preserve">Without Analysis </t>
        </is>
      </c>
      <c r="O218" s="3" t="n">
        <v>4</v>
      </c>
      <c r="P218" s="3" t="inlineStr">
        <is>
          <t>25 GB/Sample (500X)</t>
        </is>
      </c>
      <c r="Q218" s="3" t="n">
        <v>25</v>
      </c>
      <c r="R218" s="3" t="n">
        <v>100</v>
      </c>
      <c r="S218" s="3" t="n">
        <v>19000</v>
      </c>
      <c r="T218" s="5" t="n">
        <v>76000</v>
      </c>
      <c r="U218" s="5" t="n">
        <v>0</v>
      </c>
      <c r="V218" s="5" t="n">
        <v>76000</v>
      </c>
      <c r="W218" s="3" t="inlineStr">
        <is>
          <t>UG/NGS/TP/2603592</t>
        </is>
      </c>
      <c r="X218" s="3" t="inlineStr">
        <is>
          <t xml:space="preserve">Harsh </t>
        </is>
      </c>
      <c r="Y218" s="3" t="inlineStr">
        <is>
          <t>North</t>
        </is>
      </c>
      <c r="Z218" s="3" t="inlineStr">
        <is>
          <t>New Delhi</t>
        </is>
      </c>
      <c r="AA218" s="3" t="n">
        <v>4</v>
      </c>
      <c r="AB218" s="3" t="n">
        <v>0</v>
      </c>
      <c r="AC218" s="4" t="n">
        <v>46200</v>
      </c>
      <c r="AD218" s="3" t="n">
        <v>2</v>
      </c>
      <c r="AE218" s="3" t="inlineStr">
        <is>
          <t>139</t>
        </is>
      </c>
      <c r="AF218" s="3" t="inlineStr"/>
      <c r="AG218" s="3" t="inlineStr"/>
      <c r="AH218" s="3" t="inlineStr"/>
      <c r="AI218" s="3" t="inlineStr"/>
      <c r="AJ218" s="3" t="inlineStr"/>
      <c r="AK218" s="5" t="n">
        <v>76000</v>
      </c>
      <c r="AL218" s="5" t="n">
        <v>13680</v>
      </c>
      <c r="AM218" s="5" t="n">
        <v>89680</v>
      </c>
      <c r="AN218" s="3" t="inlineStr"/>
      <c r="AO218" s="5" t="n">
        <v>0</v>
      </c>
      <c r="AP218" s="5" t="n">
        <v>-89680</v>
      </c>
      <c r="AQ218" s="3" t="inlineStr"/>
    </row>
    <row r="219">
      <c r="A219" s="3" t="inlineStr">
        <is>
          <t>217</t>
        </is>
      </c>
      <c r="B219" s="3" t="inlineStr">
        <is>
          <t>NGS 260221</t>
        </is>
      </c>
      <c r="C219" s="4" t="n">
        <v>46197</v>
      </c>
      <c r="D219" s="3" t="inlineStr">
        <is>
          <t>June- 2026</t>
        </is>
      </c>
      <c r="E219" s="4" t="n">
        <v>46198</v>
      </c>
      <c r="F219" s="3" t="inlineStr">
        <is>
          <t>Dr. Aparna Sharma</t>
        </is>
      </c>
      <c r="G219" s="3" t="inlineStr">
        <is>
          <t>Aiims - Delhi</t>
        </is>
      </c>
      <c r="H219" s="3" t="inlineStr">
        <is>
          <t>Aiims - Delhi</t>
        </is>
      </c>
      <c r="I219" s="3" t="inlineStr">
        <is>
          <t>monikachettri.aiims@gmail.com</t>
        </is>
      </c>
      <c r="J219" s="3" t="inlineStr">
        <is>
          <t>7085151778/ 84488 15621</t>
        </is>
      </c>
      <c r="K219" s="3" t="inlineStr">
        <is>
          <t>Whole Exome Sequencing On Illumina Novaseq X Plus Platform</t>
        </is>
      </c>
      <c r="L219" s="3" t="inlineStr">
        <is>
          <t>DNA</t>
        </is>
      </c>
      <c r="M219" s="3" t="inlineStr">
        <is>
          <t>Wes Seq</t>
        </is>
      </c>
      <c r="N219" s="3" t="inlineStr">
        <is>
          <t xml:space="preserve">Without Analysis </t>
        </is>
      </c>
      <c r="O219" s="3" t="n">
        <v>5</v>
      </c>
      <c r="P219" s="3" t="inlineStr">
        <is>
          <t>8-10 GB/Sample</t>
        </is>
      </c>
      <c r="Q219" s="3" t="n">
        <v>10</v>
      </c>
      <c r="R219" s="3" t="n">
        <v>50</v>
      </c>
      <c r="S219" s="3" t="n">
        <v>9000</v>
      </c>
      <c r="T219" s="5" t="n">
        <v>45000</v>
      </c>
      <c r="U219" s="5" t="n">
        <v>0</v>
      </c>
      <c r="V219" s="5" t="n">
        <v>45000</v>
      </c>
      <c r="W219" s="3" t="inlineStr">
        <is>
          <t>UG/NGS/TP/2603593</t>
        </is>
      </c>
      <c r="X219" s="3" t="inlineStr">
        <is>
          <t xml:space="preserve">Harsh </t>
        </is>
      </c>
      <c r="Y219" s="3" t="inlineStr">
        <is>
          <t>North</t>
        </is>
      </c>
      <c r="Z219" s="3" t="inlineStr">
        <is>
          <t>New Delhi</t>
        </is>
      </c>
      <c r="AA219" s="3" t="n">
        <v>3</v>
      </c>
      <c r="AB219" s="3" t="n">
        <v>2</v>
      </c>
      <c r="AC219" s="4" t="n">
        <v>46202</v>
      </c>
      <c r="AD219" s="3" t="n">
        <v>4</v>
      </c>
      <c r="AE219" s="3" t="inlineStr">
        <is>
          <t>141</t>
        </is>
      </c>
      <c r="AF219" s="3" t="inlineStr"/>
      <c r="AG219" s="3" t="inlineStr"/>
      <c r="AH219" s="3" t="inlineStr"/>
      <c r="AI219" s="3" t="inlineStr"/>
      <c r="AJ219" s="3" t="inlineStr"/>
      <c r="AK219" s="5" t="n">
        <v>27000</v>
      </c>
      <c r="AL219" s="5" t="n">
        <v>4860</v>
      </c>
      <c r="AM219" s="5" t="n">
        <v>31860</v>
      </c>
      <c r="AN219" s="3" t="inlineStr"/>
      <c r="AO219" s="5" t="n">
        <v>0</v>
      </c>
      <c r="AP219" s="5" t="n">
        <v>-31860</v>
      </c>
      <c r="AQ219" s="3" t="inlineStr"/>
    </row>
    <row r="220">
      <c r="A220" s="3" t="inlineStr">
        <is>
          <t>218</t>
        </is>
      </c>
      <c r="B220" s="3" t="inlineStr">
        <is>
          <t>NGS 260222</t>
        </is>
      </c>
      <c r="C220" s="4" t="n">
        <v>46197</v>
      </c>
      <c r="D220" s="3" t="inlineStr">
        <is>
          <t>June- 2026</t>
        </is>
      </c>
      <c r="E220" s="4" t="n">
        <v>46198</v>
      </c>
      <c r="F220" s="3" t="inlineStr">
        <is>
          <t>Abhishek Tripathi</t>
        </is>
      </c>
      <c r="G220" s="3" t="inlineStr">
        <is>
          <t>Novelgene Technology Private Limited</t>
        </is>
      </c>
      <c r="H220" s="3" t="inlineStr">
        <is>
          <t>Novelgene Technology Private Limited</t>
        </is>
      </c>
      <c r="I220" s="3" t="inlineStr">
        <is>
          <t>abhishek@novelgenetech.com</t>
        </is>
      </c>
      <c r="J220" s="3" t="inlineStr">
        <is>
          <t>89777 41872</t>
        </is>
      </c>
      <c r="K220" s="3" t="inlineStr">
        <is>
          <t>Transcriptome Sequencing On Illumina Novaseq X Plus Platform</t>
        </is>
      </c>
      <c r="L220" s="3" t="inlineStr">
        <is>
          <t>Root</t>
        </is>
      </c>
      <c r="M220" s="3" t="inlineStr">
        <is>
          <t>Wes Seq</t>
        </is>
      </c>
      <c r="N220" s="3" t="inlineStr">
        <is>
          <t xml:space="preserve">Without Analysis </t>
        </is>
      </c>
      <c r="O220" s="3" t="n">
        <v>18</v>
      </c>
      <c r="P220" s="3" t="inlineStr">
        <is>
          <t>4-5 GB/Sample</t>
        </is>
      </c>
      <c r="Q220" s="3" t="n">
        <v>5</v>
      </c>
      <c r="R220" s="3" t="n">
        <v>90</v>
      </c>
      <c r="S220" s="3" t="n">
        <v>8000</v>
      </c>
      <c r="T220" s="5" t="n">
        <v>144000</v>
      </c>
      <c r="U220" s="5" t="n">
        <v>25920</v>
      </c>
      <c r="V220" s="5" t="n">
        <v>169920</v>
      </c>
      <c r="W220" s="3" t="inlineStr">
        <is>
          <t>UG/NGS/TP/2606787</t>
        </is>
      </c>
      <c r="X220" s="3" t="inlineStr">
        <is>
          <t xml:space="preserve">Harsh </t>
        </is>
      </c>
      <c r="Y220" s="3" t="inlineStr">
        <is>
          <t>Telangana</t>
        </is>
      </c>
      <c r="Z220" s="3" t="inlineStr">
        <is>
          <t>Hyderabad</t>
        </is>
      </c>
      <c r="AA220" s="3" t="n">
        <v>18</v>
      </c>
      <c r="AB220" s="3" t="n">
        <v>0</v>
      </c>
      <c r="AC220" s="4" t="n">
        <v>46203</v>
      </c>
      <c r="AD220" s="3" t="n">
        <v>5</v>
      </c>
      <c r="AE220" s="3" t="inlineStr"/>
      <c r="AF220" s="3" t="inlineStr"/>
      <c r="AG220" s="3" t="inlineStr"/>
      <c r="AH220" s="3" t="inlineStr"/>
      <c r="AI220" s="3" t="inlineStr"/>
      <c r="AJ220" s="3" t="inlineStr"/>
      <c r="AK220" s="5" t="n">
        <v>144000</v>
      </c>
      <c r="AL220" s="5" t="n">
        <v>25920</v>
      </c>
      <c r="AM220" s="5" t="n">
        <v>169920</v>
      </c>
      <c r="AN220" s="3" t="inlineStr"/>
      <c r="AO220" s="5" t="n">
        <v>0</v>
      </c>
      <c r="AP220" s="5" t="n">
        <v>-169920</v>
      </c>
      <c r="AQ220" s="3" t="inlineStr"/>
    </row>
    <row r="221">
      <c r="A221" s="3" t="inlineStr">
        <is>
          <t>219</t>
        </is>
      </c>
      <c r="B221" s="3" t="inlineStr">
        <is>
          <t>NGS 260223</t>
        </is>
      </c>
      <c r="C221" s="4" t="n">
        <v>46197</v>
      </c>
      <c r="D221" s="3" t="inlineStr">
        <is>
          <t>June- 2026</t>
        </is>
      </c>
      <c r="E221" s="4" t="n">
        <v>46198</v>
      </c>
      <c r="F221" s="3" t="inlineStr">
        <is>
          <t>Abhishek Tripathi</t>
        </is>
      </c>
      <c r="G221" s="3" t="inlineStr">
        <is>
          <t>Novelgene Technology Private Limited</t>
        </is>
      </c>
      <c r="H221" s="3" t="inlineStr">
        <is>
          <t>Novelgene Technology Private Limited</t>
        </is>
      </c>
      <c r="I221" s="3" t="inlineStr">
        <is>
          <t>abhishek@novelgenetech.com</t>
        </is>
      </c>
      <c r="J221" s="3" t="inlineStr">
        <is>
          <t>89777 41872</t>
        </is>
      </c>
      <c r="K221" s="3" t="inlineStr">
        <is>
          <t>Whole Genome Sequencing On Illumina Novaseq X Plus Platform</t>
        </is>
      </c>
      <c r="L221" s="3" t="inlineStr">
        <is>
          <t>DNA</t>
        </is>
      </c>
      <c r="M221" s="3" t="inlineStr">
        <is>
          <t>Wgs Seq</t>
        </is>
      </c>
      <c r="N221" s="3" t="inlineStr">
        <is>
          <t xml:space="preserve">Without Analysis </t>
        </is>
      </c>
      <c r="O221" s="3" t="n">
        <v>20</v>
      </c>
      <c r="P221" s="3" t="inlineStr">
        <is>
          <t>15 GB/Sample</t>
        </is>
      </c>
      <c r="Q221" s="3" t="n">
        <v>15</v>
      </c>
      <c r="R221" s="3" t="n">
        <v>300</v>
      </c>
      <c r="S221" s="3" t="n">
        <v>10000</v>
      </c>
      <c r="T221" s="5" t="n">
        <v>200000</v>
      </c>
      <c r="U221" s="5" t="n">
        <v>36000</v>
      </c>
      <c r="V221" s="5" t="n">
        <v>236000</v>
      </c>
      <c r="W221" s="3" t="inlineStr">
        <is>
          <t>UG/NGS/TP/2606788</t>
        </is>
      </c>
      <c r="X221" s="3" t="inlineStr">
        <is>
          <t xml:space="preserve">Harsh </t>
        </is>
      </c>
      <c r="Y221" s="3" t="inlineStr">
        <is>
          <t>Telangana</t>
        </is>
      </c>
      <c r="Z221" s="3" t="inlineStr">
        <is>
          <t>Hyderabad</t>
        </is>
      </c>
      <c r="AA221" s="3" t="n">
        <v>13</v>
      </c>
      <c r="AB221" s="3" t="n">
        <v>7</v>
      </c>
      <c r="AC221" s="4" t="n">
        <v>46200</v>
      </c>
      <c r="AD221" s="3" t="n">
        <v>2</v>
      </c>
      <c r="AE221" s="3" t="inlineStr">
        <is>
          <t>141 (3 samples Top up)</t>
        </is>
      </c>
      <c r="AF221" s="3" t="inlineStr"/>
      <c r="AG221" s="3" t="inlineStr"/>
      <c r="AH221" s="3" t="inlineStr"/>
      <c r="AI221" s="3" t="inlineStr"/>
      <c r="AJ221" s="3" t="inlineStr"/>
      <c r="AK221" s="5" t="n">
        <v>130000</v>
      </c>
      <c r="AL221" s="5" t="n">
        <v>23400</v>
      </c>
      <c r="AM221" s="5" t="n">
        <v>153400</v>
      </c>
      <c r="AN221" s="3" t="inlineStr"/>
      <c r="AO221" s="5" t="n">
        <v>0</v>
      </c>
      <c r="AP221" s="5" t="n">
        <v>-153400</v>
      </c>
      <c r="AQ221" s="3" t="inlineStr"/>
    </row>
    <row r="222">
      <c r="A222" s="3" t="inlineStr">
        <is>
          <t>220</t>
        </is>
      </c>
      <c r="B222" s="3" t="inlineStr">
        <is>
          <t>NGS 260224</t>
        </is>
      </c>
      <c r="C222" s="4" t="n">
        <v>46198</v>
      </c>
      <c r="D222" s="3" t="inlineStr">
        <is>
          <t>June- 2026</t>
        </is>
      </c>
      <c r="E222" s="4" t="n">
        <v>46198</v>
      </c>
      <c r="F222" s="3" t="inlineStr">
        <is>
          <t>Dr.Manoj Kamble</t>
        </is>
      </c>
      <c r="G222" s="3" t="inlineStr">
        <is>
          <t>Intas Pharmaceuticals (Biopharma Division)</t>
        </is>
      </c>
      <c r="H222" s="3" t="inlineStr">
        <is>
          <t>Intas Pharmaceuticals</t>
        </is>
      </c>
      <c r="I222" s="3" t="inlineStr">
        <is>
          <t>manoj_kamble@intaspharma.com</t>
        </is>
      </c>
      <c r="J222" s="3" t="inlineStr">
        <is>
          <t>9112209988</t>
        </is>
      </c>
      <c r="K222" s="3" t="inlineStr">
        <is>
          <t>Plasmid Whole Genome Sequencing &amp; Analysis On Illumina Novaseq X Plus Platform</t>
        </is>
      </c>
      <c r="L222" s="3" t="inlineStr">
        <is>
          <t>DNA</t>
        </is>
      </c>
      <c r="M222" s="3" t="inlineStr">
        <is>
          <t>Wgs Seq</t>
        </is>
      </c>
      <c r="N222" s="3" t="inlineStr">
        <is>
          <t xml:space="preserve">With Analysis </t>
        </is>
      </c>
      <c r="O222" s="3" t="n">
        <v>3</v>
      </c>
      <c r="P222" s="3" t="inlineStr">
        <is>
          <t>1 GB/Sample</t>
        </is>
      </c>
      <c r="Q222" s="3" t="n">
        <v>1</v>
      </c>
      <c r="R222" s="3" t="n">
        <v>3</v>
      </c>
      <c r="S222" s="3" t="n">
        <v>14000</v>
      </c>
      <c r="T222" s="5" t="n">
        <v>42000</v>
      </c>
      <c r="U222" s="5" t="n">
        <v>7560</v>
      </c>
      <c r="V222" s="5" t="n">
        <v>49560</v>
      </c>
      <c r="W222" s="3" t="inlineStr"/>
      <c r="X222" s="3" t="inlineStr">
        <is>
          <t>Direct</t>
        </is>
      </c>
      <c r="Y222" s="3" t="inlineStr">
        <is>
          <t>West</t>
        </is>
      </c>
      <c r="Z222" s="3" t="inlineStr">
        <is>
          <t>Ahme</t>
        </is>
      </c>
      <c r="AA222" s="3" t="n">
        <v>3</v>
      </c>
      <c r="AB222" s="3" t="n">
        <v>0</v>
      </c>
      <c r="AC222" s="4" t="n">
        <v>46199</v>
      </c>
      <c r="AD222" s="3" t="n">
        <v>1</v>
      </c>
      <c r="AE222" s="3" t="inlineStr">
        <is>
          <t>141</t>
        </is>
      </c>
      <c r="AF222" s="3" t="inlineStr"/>
      <c r="AG222" s="3" t="inlineStr"/>
      <c r="AH222" s="3" t="inlineStr"/>
      <c r="AI222" s="3" t="inlineStr"/>
      <c r="AJ222" s="3" t="inlineStr"/>
      <c r="AK222" s="5" t="n">
        <v>42000</v>
      </c>
      <c r="AL222" s="5" t="n">
        <v>7560</v>
      </c>
      <c r="AM222" s="5" t="n">
        <v>49560</v>
      </c>
      <c r="AN222" s="3" t="inlineStr"/>
      <c r="AO222" s="5" t="n">
        <v>0</v>
      </c>
      <c r="AP222" s="5" t="n">
        <v>-49560</v>
      </c>
      <c r="AQ222" s="3" t="inlineStr"/>
    </row>
    <row r="223">
      <c r="A223" s="3" t="inlineStr">
        <is>
          <t>221</t>
        </is>
      </c>
      <c r="B223" s="3" t="inlineStr">
        <is>
          <t>NGS 260225</t>
        </is>
      </c>
      <c r="C223" s="4" t="n">
        <v>46199</v>
      </c>
      <c r="D223" s="3" t="inlineStr">
        <is>
          <t>June- 2026</t>
        </is>
      </c>
      <c r="E223" s="4" t="n">
        <v>46199</v>
      </c>
      <c r="F223" s="3" t="inlineStr">
        <is>
          <t>Dr Bhawana Dubey</t>
        </is>
      </c>
      <c r="G223" s="3" t="inlineStr">
        <is>
          <t>Bioserve Biotechnologies India Pvt Ltd</t>
        </is>
      </c>
      <c r="H223" s="3" t="inlineStr">
        <is>
          <t>Bioserve Biotechnologies India Pvt Ltd</t>
        </is>
      </c>
      <c r="I223" s="3" t="inlineStr">
        <is>
          <t>bhawna.dubey@reprocell.in</t>
        </is>
      </c>
      <c r="J223" s="3" t="inlineStr">
        <is>
          <t>7207074082</t>
        </is>
      </c>
      <c r="K223" s="3" t="inlineStr">
        <is>
          <t>Viral (Measles) Whole Genome Sequencing &amp; Analysis On Illumina Novaseq X Plus Platform</t>
        </is>
      </c>
      <c r="L223" s="3" t="inlineStr">
        <is>
          <t>Plasma</t>
        </is>
      </c>
      <c r="M223" s="3" t="inlineStr">
        <is>
          <t>Wgs Seq</t>
        </is>
      </c>
      <c r="N223" s="3" t="inlineStr">
        <is>
          <t xml:space="preserve">With Analysis </t>
        </is>
      </c>
      <c r="O223" s="3" t="n">
        <v>8</v>
      </c>
      <c r="P223" s="3" t="inlineStr">
        <is>
          <t>4-5 GB/sample</t>
        </is>
      </c>
      <c r="Q223" s="3" t="n">
        <v>5</v>
      </c>
      <c r="R223" s="3" t="n">
        <v>40</v>
      </c>
      <c r="S223" s="3" t="n">
        <v>14600</v>
      </c>
      <c r="T223" s="5" t="n">
        <v>116800</v>
      </c>
      <c r="U223" s="5" t="n">
        <v>21024</v>
      </c>
      <c r="V223" s="5" t="n">
        <v>137824</v>
      </c>
      <c r="W223" s="3" t="inlineStr">
        <is>
          <t>UG/NGS/TP/2606774R1</t>
        </is>
      </c>
      <c r="X223" s="3" t="inlineStr">
        <is>
          <t>Direct</t>
        </is>
      </c>
      <c r="Y223" s="3" t="inlineStr">
        <is>
          <t>South</t>
        </is>
      </c>
      <c r="Z223" s="3" t="inlineStr">
        <is>
          <t>Hyderabad</t>
        </is>
      </c>
      <c r="AA223" s="3" t="inlineStr"/>
      <c r="AB223" s="3" t="inlineStr"/>
      <c r="AC223" s="3" t="inlineStr"/>
      <c r="AD223" s="3" t="inlineStr"/>
      <c r="AE223" s="3" t="inlineStr"/>
      <c r="AF223" s="3" t="inlineStr"/>
      <c r="AG223" s="3" t="inlineStr"/>
      <c r="AH223" s="3" t="inlineStr"/>
      <c r="AI223" s="3" t="inlineStr"/>
      <c r="AJ223" s="3" t="inlineStr"/>
      <c r="AK223" s="5" t="n">
        <v>0</v>
      </c>
      <c r="AL223" s="5" t="n">
        <v>0</v>
      </c>
      <c r="AM223" s="5" t="n">
        <v>0</v>
      </c>
      <c r="AN223" s="3" t="inlineStr"/>
      <c r="AO223" s="5" t="n">
        <v>0</v>
      </c>
      <c r="AP223" s="5" t="n">
        <v>0</v>
      </c>
      <c r="AQ223" s="3" t="inlineStr"/>
    </row>
    <row r="224">
      <c r="A224" s="3" t="inlineStr">
        <is>
          <t>211</t>
        </is>
      </c>
      <c r="B224" s="3" t="inlineStr">
        <is>
          <t>NGS 260226</t>
        </is>
      </c>
      <c r="C224" s="4" t="n">
        <v>46200</v>
      </c>
      <c r="D224" s="3" t="inlineStr">
        <is>
          <t>June- 2026</t>
        </is>
      </c>
      <c r="E224" s="4" t="n">
        <v>46200</v>
      </c>
      <c r="F224" s="3" t="inlineStr">
        <is>
          <t>Mr.Digil</t>
        </is>
      </c>
      <c r="G224" s="3" t="inlineStr">
        <is>
          <t>Geno Connect Services Private Limited</t>
        </is>
      </c>
      <c r="H224" s="3" t="inlineStr">
        <is>
          <t>Geno Connect Services Private Limited</t>
        </is>
      </c>
      <c r="I224" s="3" t="inlineStr">
        <is>
          <t>Genoconnect.pvt.ltd@gmail.com</t>
        </is>
      </c>
      <c r="J224" s="3" t="inlineStr">
        <is>
          <t>9400039514</t>
        </is>
      </c>
      <c r="K224" s="3" t="inlineStr">
        <is>
          <t>Low Pass Whole Genome Sequencing On Illumina Novaseq X Plus Platform</t>
        </is>
      </c>
      <c r="L224" s="3" t="inlineStr">
        <is>
          <t>Swab Samples</t>
        </is>
      </c>
      <c r="M224" s="3" t="inlineStr">
        <is>
          <t>Low Pass Wgs</t>
        </is>
      </c>
      <c r="N224" s="3" t="inlineStr">
        <is>
          <t xml:space="preserve">Without Analysis </t>
        </is>
      </c>
      <c r="O224" s="3" t="n">
        <v>1</v>
      </c>
      <c r="P224" s="3" t="inlineStr">
        <is>
          <t>3 GB/Sample</t>
        </is>
      </c>
      <c r="Q224" s="3" t="n">
        <v>3</v>
      </c>
      <c r="R224" s="3" t="n">
        <v>3</v>
      </c>
      <c r="S224" s="3" t="n">
        <v>3000</v>
      </c>
      <c r="T224" s="5" t="n">
        <v>3000</v>
      </c>
      <c r="U224" s="5" t="n">
        <v>540</v>
      </c>
      <c r="V224" s="5" t="n">
        <v>3540</v>
      </c>
      <c r="W224" s="3" t="inlineStr">
        <is>
          <t>UG/NGS/TP/2512388R1</t>
        </is>
      </c>
      <c r="X224" s="3" t="inlineStr">
        <is>
          <t>Direct</t>
        </is>
      </c>
      <c r="Y224" s="3" t="inlineStr">
        <is>
          <t>South</t>
        </is>
      </c>
      <c r="Z224" s="3" t="inlineStr">
        <is>
          <t>Kozhikode</t>
        </is>
      </c>
      <c r="AA224" s="3" t="n">
        <v>1</v>
      </c>
      <c r="AB224" s="3" t="n">
        <v>0</v>
      </c>
      <c r="AC224" s="4" t="n">
        <v>46203</v>
      </c>
      <c r="AD224" s="3" t="n">
        <v>3</v>
      </c>
      <c r="AE224" s="3" t="inlineStr">
        <is>
          <t>141</t>
        </is>
      </c>
      <c r="AF224" s="3" t="inlineStr"/>
      <c r="AG224" s="3" t="inlineStr"/>
      <c r="AH224" s="3" t="inlineStr"/>
      <c r="AI224" s="3" t="inlineStr"/>
      <c r="AJ224" s="3" t="inlineStr"/>
      <c r="AK224" s="5" t="n">
        <v>3000</v>
      </c>
      <c r="AL224" s="5" t="n">
        <v>540</v>
      </c>
      <c r="AM224" s="5" t="n">
        <v>3540</v>
      </c>
      <c r="AN224" s="3" t="inlineStr"/>
      <c r="AO224" s="5" t="n">
        <v>0</v>
      </c>
      <c r="AP224" s="5" t="n">
        <v>-3540</v>
      </c>
      <c r="AQ224" s="3" t="inlineStr"/>
    </row>
    <row r="225">
      <c r="A225" s="3" t="inlineStr">
        <is>
          <t>212</t>
        </is>
      </c>
      <c r="B225" s="3" t="inlineStr">
        <is>
          <t>NGS 260227</t>
        </is>
      </c>
      <c r="C225" s="4" t="n">
        <v>46202</v>
      </c>
      <c r="D225" s="3" t="inlineStr">
        <is>
          <t>June- 2026</t>
        </is>
      </c>
      <c r="E225" s="4" t="n">
        <v>46203</v>
      </c>
      <c r="F225" s="3" t="inlineStr">
        <is>
          <t>Dr. Vivek Kumar Gautam</t>
        </is>
      </c>
      <c r="G225" s="3" t="inlineStr">
        <is>
          <t>Aiims - Delhi</t>
        </is>
      </c>
      <c r="H225" s="3" t="inlineStr">
        <is>
          <t>Aiims - Delhi</t>
        </is>
      </c>
      <c r="I225" s="3" t="inlineStr">
        <is>
          <t>vivekkumarmamc@gmail.com</t>
        </is>
      </c>
      <c r="J225" s="3" t="inlineStr">
        <is>
          <t>9205952767</t>
        </is>
      </c>
      <c r="K225" s="3" t="inlineStr">
        <is>
          <t>Transcriptome Sequencing &amp; Analysis On Illumina Novaseq X Plus Platform</t>
        </is>
      </c>
      <c r="L225" s="3" t="inlineStr">
        <is>
          <t>RNA</t>
        </is>
      </c>
      <c r="M225" s="3" t="inlineStr">
        <is>
          <t>Wts Seq</t>
        </is>
      </c>
      <c r="N225" s="3" t="inlineStr">
        <is>
          <t xml:space="preserve">With Analysis </t>
        </is>
      </c>
      <c r="O225" s="3" t="n">
        <v>9</v>
      </c>
      <c r="P225" s="3" t="inlineStr">
        <is>
          <t>18 GB/Sample (60 million reads/sample)</t>
        </is>
      </c>
      <c r="Q225" s="3" t="n">
        <v>18</v>
      </c>
      <c r="R225" s="3" t="n">
        <v>162</v>
      </c>
      <c r="S225" s="3" t="n">
        <v>10000</v>
      </c>
      <c r="T225" s="5" t="n">
        <v>90000</v>
      </c>
      <c r="U225" s="5" t="n">
        <v>16200</v>
      </c>
      <c r="V225" s="5" t="n">
        <v>106200</v>
      </c>
      <c r="W225" s="3" t="inlineStr">
        <is>
          <t>UG/NGS/TP/2605728</t>
        </is>
      </c>
      <c r="X225" s="3" t="inlineStr">
        <is>
          <t xml:space="preserve">Harsh </t>
        </is>
      </c>
      <c r="Y225" s="3" t="inlineStr">
        <is>
          <t>North</t>
        </is>
      </c>
      <c r="Z225" s="3" t="inlineStr">
        <is>
          <t>New Delhi</t>
        </is>
      </c>
      <c r="AA225" s="3" t="n">
        <v>9</v>
      </c>
      <c r="AB225" s="3" t="n">
        <v>0</v>
      </c>
      <c r="AC225" s="4" t="n">
        <v>46207</v>
      </c>
      <c r="AD225" s="3" t="n">
        <v>4</v>
      </c>
      <c r="AE225" s="3" t="inlineStr"/>
      <c r="AF225" s="3" t="inlineStr"/>
      <c r="AG225" s="3" t="inlineStr"/>
      <c r="AH225" s="3" t="inlineStr"/>
      <c r="AI225" s="3" t="inlineStr"/>
      <c r="AJ225" s="3" t="inlineStr"/>
      <c r="AK225" s="5" t="n">
        <v>90000</v>
      </c>
      <c r="AL225" s="5" t="n">
        <v>16200</v>
      </c>
      <c r="AM225" s="5" t="n">
        <v>106200</v>
      </c>
      <c r="AN225" s="3" t="inlineStr"/>
      <c r="AO225" s="5" t="n">
        <v>0</v>
      </c>
      <c r="AP225" s="5" t="n">
        <v>-106200</v>
      </c>
      <c r="AQ225" s="3" t="inlineStr"/>
    </row>
    <row r="226">
      <c r="A226" s="3" t="inlineStr">
        <is>
          <t>213</t>
        </is>
      </c>
      <c r="B226" s="3" t="inlineStr">
        <is>
          <t>NGS 260228</t>
        </is>
      </c>
      <c r="C226" s="4" t="n">
        <v>46205</v>
      </c>
      <c r="D226" s="3" t="inlineStr">
        <is>
          <t>July- 2026</t>
        </is>
      </c>
      <c r="E226" s="4" t="n">
        <v>46206</v>
      </c>
      <c r="F226" s="3" t="inlineStr">
        <is>
          <t>Dr. Saumyaranjan Mallick</t>
        </is>
      </c>
      <c r="G226" s="3" t="inlineStr">
        <is>
          <t>Aiims Delhi</t>
        </is>
      </c>
      <c r="H226" s="3" t="inlineStr">
        <is>
          <t>Cella Solutions</t>
        </is>
      </c>
      <c r="I226" s="3" t="inlineStr">
        <is>
          <t>ravi.verma@cellasolutions.in</t>
        </is>
      </c>
      <c r="J226" s="3" t="inlineStr">
        <is>
          <t>7073815198</t>
        </is>
      </c>
      <c r="K226" s="3" t="inlineStr">
        <is>
          <t>Ready To Run Library Service</t>
        </is>
      </c>
      <c r="L226" s="3" t="inlineStr">
        <is>
          <t>Library</t>
        </is>
      </c>
      <c r="M226" s="3" t="inlineStr">
        <is>
          <t>R2R</t>
        </is>
      </c>
      <c r="N226" s="3" t="inlineStr">
        <is>
          <t xml:space="preserve">Without Analysis </t>
        </is>
      </c>
      <c r="O226" s="3" t="n">
        <v>1</v>
      </c>
      <c r="P226" s="3" t="inlineStr">
        <is>
          <t>24 GB</t>
        </is>
      </c>
      <c r="Q226" s="3" t="n">
        <v>24</v>
      </c>
      <c r="R226" s="3" t="n">
        <v>24</v>
      </c>
      <c r="S226" s="3" t="n">
        <v>1500</v>
      </c>
      <c r="T226" s="5" t="n">
        <v>36000</v>
      </c>
      <c r="U226" s="5" t="n">
        <v>6480</v>
      </c>
      <c r="V226" s="5" t="n">
        <v>42480</v>
      </c>
      <c r="W226" s="3" t="inlineStr">
        <is>
          <t>UG/NGS/TP/2606808R1</t>
        </is>
      </c>
      <c r="X226" s="3" t="inlineStr">
        <is>
          <t xml:space="preserve">Harsh </t>
        </is>
      </c>
      <c r="Y226" s="3" t="inlineStr">
        <is>
          <t>North</t>
        </is>
      </c>
      <c r="Z226" s="3" t="inlineStr">
        <is>
          <t>New Delhi</t>
        </is>
      </c>
      <c r="AA226" s="3" t="n">
        <v>1</v>
      </c>
      <c r="AB226" s="3" t="n">
        <v>0</v>
      </c>
      <c r="AC226" s="4" t="n">
        <v>46212</v>
      </c>
      <c r="AD226" s="3" t="n">
        <v>6</v>
      </c>
      <c r="AE226" s="3" t="inlineStr"/>
      <c r="AF226" s="3" t="inlineStr"/>
      <c r="AG226" s="3" t="inlineStr"/>
      <c r="AH226" s="3" t="inlineStr"/>
      <c r="AI226" s="3" t="inlineStr"/>
      <c r="AJ226" s="3" t="inlineStr"/>
      <c r="AK226" s="5" t="n">
        <v>1500</v>
      </c>
      <c r="AL226" s="5" t="n">
        <v>270</v>
      </c>
      <c r="AM226" s="5" t="n">
        <v>1770</v>
      </c>
      <c r="AN226" s="3" t="inlineStr"/>
      <c r="AO226" s="5" t="n">
        <v>0</v>
      </c>
      <c r="AP226" s="5" t="n">
        <v>-1770</v>
      </c>
      <c r="AQ226" s="3" t="inlineStr"/>
    </row>
    <row r="227">
      <c r="A227" s="3" t="inlineStr">
        <is>
          <t>214</t>
        </is>
      </c>
      <c r="B227" s="3" t="inlineStr">
        <is>
          <t>NGS 260229</t>
        </is>
      </c>
      <c r="C227" s="4" t="n">
        <v>46205</v>
      </c>
      <c r="D227" s="3" t="inlineStr">
        <is>
          <t>July- 2026</t>
        </is>
      </c>
      <c r="E227" s="4" t="n">
        <v>46206</v>
      </c>
      <c r="F227" s="3" t="inlineStr">
        <is>
          <t>Dr. B.P. Urade</t>
        </is>
      </c>
      <c r="G227" s="3" t="inlineStr">
        <is>
          <t>Anthropological Survey Of India</t>
        </is>
      </c>
      <c r="H227" s="3" t="inlineStr">
        <is>
          <t>Anthropological Survey Of India</t>
        </is>
      </c>
      <c r="I227" s="3" t="inlineStr">
        <is>
          <t>ansigutmicrobiomedataaccess@gmail.com</t>
        </is>
      </c>
      <c r="J227" s="3" t="inlineStr">
        <is>
          <t>9881739563</t>
        </is>
      </c>
      <c r="K227" s="3" t="inlineStr">
        <is>
          <t>Shotgun Metagenomics Sequencing On Illumina Novaseq X Plus Platform</t>
        </is>
      </c>
      <c r="L227" s="3" t="inlineStr">
        <is>
          <t>DNA</t>
        </is>
      </c>
      <c r="M227" s="3" t="inlineStr">
        <is>
          <t>Shotgun</t>
        </is>
      </c>
      <c r="N227" s="3" t="inlineStr">
        <is>
          <t>Without Analysis</t>
        </is>
      </c>
      <c r="O227" s="3" t="n">
        <v>41</v>
      </c>
      <c r="P227" s="3" t="inlineStr">
        <is>
          <t>5 GB/sample</t>
        </is>
      </c>
      <c r="Q227" s="3" t="n">
        <v>5</v>
      </c>
      <c r="R227" s="3" t="n">
        <v>205</v>
      </c>
      <c r="S227" s="3" t="n">
        <v>3535</v>
      </c>
      <c r="T227" s="5" t="n">
        <v>144935</v>
      </c>
      <c r="U227" s="5" t="n">
        <v>26088.3</v>
      </c>
      <c r="V227" s="5" t="n">
        <v>171023.3</v>
      </c>
      <c r="W227" s="3" t="inlineStr">
        <is>
          <t>GEMC-511687721709339</t>
        </is>
      </c>
      <c r="X227" s="3" t="inlineStr">
        <is>
          <t>Direct</t>
        </is>
      </c>
      <c r="Y227" s="3" t="inlineStr">
        <is>
          <t>East</t>
        </is>
      </c>
      <c r="Z227" s="3" t="inlineStr">
        <is>
          <t>Kolkatta</t>
        </is>
      </c>
      <c r="AA227" s="3" t="n">
        <v>41</v>
      </c>
      <c r="AB227" s="3" t="n">
        <v>0</v>
      </c>
      <c r="AC227" s="4" t="n">
        <v>46211</v>
      </c>
      <c r="AD227" s="3" t="n">
        <v>5</v>
      </c>
      <c r="AE227" s="3" t="inlineStr"/>
      <c r="AF227" s="3" t="inlineStr"/>
      <c r="AG227" s="3" t="inlineStr"/>
      <c r="AH227" s="3" t="inlineStr"/>
      <c r="AI227" s="3" t="inlineStr"/>
      <c r="AJ227" s="3" t="inlineStr"/>
      <c r="AK227" s="5" t="n">
        <v>144935</v>
      </c>
      <c r="AL227" s="5" t="n">
        <v>26088.3</v>
      </c>
      <c r="AM227" s="5" t="n">
        <v>171023.3</v>
      </c>
      <c r="AN227" s="3" t="inlineStr"/>
      <c r="AO227" s="5" t="n">
        <v>0</v>
      </c>
      <c r="AP227" s="5" t="n">
        <v>-171023.3</v>
      </c>
      <c r="AQ227" s="3" t="inlineStr"/>
    </row>
    <row r="228">
      <c r="A228" s="3" t="inlineStr">
        <is>
          <t>215</t>
        </is>
      </c>
      <c r="B228" s="3" t="inlineStr">
        <is>
          <t>NGS 260230</t>
        </is>
      </c>
      <c r="C228" s="4" t="n">
        <v>46209</v>
      </c>
      <c r="D228" s="3" t="inlineStr">
        <is>
          <t>July- 2026</t>
        </is>
      </c>
      <c r="E228" s="4" t="n">
        <v>46211</v>
      </c>
      <c r="F228" s="3" t="inlineStr">
        <is>
          <t>Dr. Arpita Ghosh Mitra</t>
        </is>
      </c>
      <c r="G228" s="3" t="inlineStr">
        <is>
          <t>Rgcirc</t>
        </is>
      </c>
      <c r="H228" s="3" t="inlineStr">
        <is>
          <t>Rgcirc</t>
        </is>
      </c>
      <c r="I228" s="3" t="inlineStr">
        <is>
          <t xml:space="preserve">drrajatsaha78@gmail.com, ghosh.arpita@rgcirc.org </t>
        </is>
      </c>
      <c r="J228" s="3" t="inlineStr">
        <is>
          <t>9433489589</t>
        </is>
      </c>
      <c r="K228" s="3" t="inlineStr">
        <is>
          <t>Whole Exome Sequencing &amp; Analysis On Illumina Novaseq X Plus Platform</t>
        </is>
      </c>
      <c r="L228" s="3" t="inlineStr">
        <is>
          <t>Tissue</t>
        </is>
      </c>
      <c r="M228" s="3" t="inlineStr">
        <is>
          <t>Wes Seq</t>
        </is>
      </c>
      <c r="N228" s="3" t="inlineStr">
        <is>
          <t>With Analysis</t>
        </is>
      </c>
      <c r="O228" s="3" t="n">
        <v>11</v>
      </c>
      <c r="P228" s="3" t="inlineStr">
        <is>
          <t>10-12 GB/Sample (200X)</t>
        </is>
      </c>
      <c r="Q228" s="3" t="n">
        <v>10</v>
      </c>
      <c r="R228" s="3" t="n">
        <v>110</v>
      </c>
      <c r="S228" s="3" t="n">
        <v>12700</v>
      </c>
      <c r="T228" s="5" t="n">
        <v>139700</v>
      </c>
      <c r="U228" s="5" t="n">
        <v>25146</v>
      </c>
      <c r="V228" s="5" t="n">
        <v>164846</v>
      </c>
      <c r="W228" s="3" t="inlineStr"/>
      <c r="X228" s="3" t="inlineStr">
        <is>
          <t>harsh</t>
        </is>
      </c>
      <c r="Y228" s="3" t="inlineStr">
        <is>
          <t>North</t>
        </is>
      </c>
      <c r="Z228" s="3" t="inlineStr">
        <is>
          <t>New Delhi</t>
        </is>
      </c>
      <c r="AA228" s="3" t="n">
        <v>9</v>
      </c>
      <c r="AB228" s="3" t="n">
        <v>2</v>
      </c>
      <c r="AC228" s="4" t="n">
        <v>46217</v>
      </c>
      <c r="AD228" s="3" t="n">
        <v>6</v>
      </c>
      <c r="AE228" s="3" t="inlineStr"/>
      <c r="AF228" s="3" t="inlineStr"/>
      <c r="AG228" s="3" t="inlineStr"/>
      <c r="AH228" s="3" t="inlineStr"/>
      <c r="AI228" s="3" t="inlineStr"/>
      <c r="AJ228" s="3" t="inlineStr"/>
      <c r="AK228" s="5" t="n">
        <v>114300</v>
      </c>
      <c r="AL228" s="5" t="n">
        <v>20574</v>
      </c>
      <c r="AM228" s="5" t="n">
        <v>134874</v>
      </c>
      <c r="AN228" s="3" t="inlineStr"/>
      <c r="AO228" s="5" t="n">
        <v>0</v>
      </c>
      <c r="AP228" s="5" t="n">
        <v>-134874</v>
      </c>
      <c r="AQ228" s="3" t="inlineStr"/>
    </row>
    <row r="229">
      <c r="A229" s="3" t="inlineStr">
        <is>
          <t>216</t>
        </is>
      </c>
      <c r="B229" s="3" t="inlineStr">
        <is>
          <t>NGS 260231</t>
        </is>
      </c>
      <c r="C229" s="4" t="n">
        <v>46211</v>
      </c>
      <c r="D229" s="3" t="inlineStr">
        <is>
          <t>July- 2026</t>
        </is>
      </c>
      <c r="E229" s="4" t="n">
        <v>46211</v>
      </c>
      <c r="F229" s="3" t="inlineStr">
        <is>
          <t>Dr. Juhi Tayal</t>
        </is>
      </c>
      <c r="G229" s="3" t="inlineStr">
        <is>
          <t>Rgcirc, Delhi</t>
        </is>
      </c>
      <c r="H229" s="3" t="inlineStr">
        <is>
          <t>Rgcirc, Delhi</t>
        </is>
      </c>
      <c r="I229" s="3" t="inlineStr">
        <is>
          <t>juhitayal76@gmail.com</t>
        </is>
      </c>
      <c r="J229" s="3" t="inlineStr"/>
      <c r="K229" s="3" t="inlineStr">
        <is>
          <t>Mrna Sequencing On Illumina Novaseq X Plus Platform</t>
        </is>
      </c>
      <c r="L229" s="3" t="inlineStr">
        <is>
          <t>Human Tissue</t>
        </is>
      </c>
      <c r="M229" s="3" t="inlineStr">
        <is>
          <t>RNA Seq</t>
        </is>
      </c>
      <c r="N229" s="3" t="inlineStr">
        <is>
          <t>Without Analysis</t>
        </is>
      </c>
      <c r="O229" s="3" t="n">
        <v>50</v>
      </c>
      <c r="P229" s="3" t="inlineStr">
        <is>
          <t>8-9 GB/Sample</t>
        </is>
      </c>
      <c r="Q229" s="3" t="n">
        <v>9</v>
      </c>
      <c r="R229" s="3" t="n">
        <v>450</v>
      </c>
      <c r="S229" s="3" t="n">
        <v>11000</v>
      </c>
      <c r="T229" s="5" t="n">
        <v>550000</v>
      </c>
      <c r="U229" s="5" t="n">
        <v>99000</v>
      </c>
      <c r="V229" s="5" t="n">
        <v>649000</v>
      </c>
      <c r="W229" s="3" t="inlineStr">
        <is>
          <t>UG/NGS/TP/2509140R1</t>
        </is>
      </c>
      <c r="X229" s="3" t="inlineStr">
        <is>
          <t xml:space="preserve">Harsh </t>
        </is>
      </c>
      <c r="Y229" s="3" t="inlineStr">
        <is>
          <t>Delhi</t>
        </is>
      </c>
      <c r="Z229" s="3" t="inlineStr">
        <is>
          <t>Delhi</t>
        </is>
      </c>
      <c r="AA229" s="3" t="n">
        <v>42</v>
      </c>
      <c r="AB229" s="3" t="n">
        <v>8</v>
      </c>
      <c r="AC229" s="4" t="n">
        <v>46214</v>
      </c>
      <c r="AD229" s="3" t="n">
        <v>3</v>
      </c>
      <c r="AE229" s="3" t="inlineStr"/>
      <c r="AF229" s="3" t="inlineStr"/>
      <c r="AG229" s="3" t="inlineStr"/>
      <c r="AH229" s="3" t="inlineStr"/>
      <c r="AI229" s="3" t="inlineStr"/>
      <c r="AJ229" s="3" t="inlineStr"/>
      <c r="AK229" s="5" t="n">
        <v>462000</v>
      </c>
      <c r="AL229" s="5" t="n">
        <v>83160</v>
      </c>
      <c r="AM229" s="5" t="n">
        <v>545160</v>
      </c>
      <c r="AN229" s="3" t="inlineStr"/>
      <c r="AO229" s="5" t="n">
        <v>0</v>
      </c>
      <c r="AP229" s="5" t="n">
        <v>-545160</v>
      </c>
      <c r="AQ229" s="3" t="inlineStr"/>
    </row>
    <row r="230">
      <c r="A230" s="3" t="inlineStr">
        <is>
          <t>217</t>
        </is>
      </c>
      <c r="B230" s="3" t="inlineStr">
        <is>
          <t>NGS 260232</t>
        </is>
      </c>
      <c r="C230" s="4" t="n">
        <v>46211</v>
      </c>
      <c r="D230" s="3" t="inlineStr">
        <is>
          <t>July- 2026</t>
        </is>
      </c>
      <c r="E230" s="4" t="n">
        <v>46213</v>
      </c>
      <c r="F230" s="3" t="inlineStr">
        <is>
          <t>Dr.Amit Mandoli</t>
        </is>
      </c>
      <c r="G230" s="3" t="inlineStr">
        <is>
          <t>Niper-A</t>
        </is>
      </c>
      <c r="H230" s="3" t="inlineStr">
        <is>
          <t>Niper-A</t>
        </is>
      </c>
      <c r="I230" s="3" t="inlineStr">
        <is>
          <t>saiswetha.uppalapati@niperahm.res.in</t>
        </is>
      </c>
      <c r="J230" s="3" t="inlineStr">
        <is>
          <t>9727329952</t>
        </is>
      </c>
      <c r="K230" s="3" t="inlineStr">
        <is>
          <t>Ready To Run Library Service</t>
        </is>
      </c>
      <c r="L230" s="3" t="inlineStr">
        <is>
          <t>Library</t>
        </is>
      </c>
      <c r="M230" s="3" t="inlineStr">
        <is>
          <t>R2R</t>
        </is>
      </c>
      <c r="N230" s="3" t="inlineStr">
        <is>
          <t>Without Analysis</t>
        </is>
      </c>
      <c r="O230" s="3" t="n">
        <v>2</v>
      </c>
      <c r="P230" s="3" t="inlineStr">
        <is>
          <t>13 GB</t>
        </is>
      </c>
      <c r="Q230" s="3" t="inlineStr"/>
      <c r="R230" s="3" t="n">
        <v>13</v>
      </c>
      <c r="S230" s="3" t="n">
        <v>600</v>
      </c>
      <c r="T230" s="5" t="n">
        <v>0</v>
      </c>
      <c r="U230" s="5" t="n">
        <v>0</v>
      </c>
      <c r="V230" s="5" t="n">
        <v>0</v>
      </c>
      <c r="W230" s="3" t="inlineStr"/>
      <c r="X230" s="3" t="inlineStr"/>
      <c r="Y230" s="3" t="inlineStr">
        <is>
          <t>N/A</t>
        </is>
      </c>
      <c r="Z230" s="3" t="inlineStr">
        <is>
          <t>N/A</t>
        </is>
      </c>
      <c r="AA230" s="3" t="n">
        <v>2</v>
      </c>
      <c r="AB230" s="3" t="n">
        <v>0</v>
      </c>
      <c r="AC230" s="4" t="n">
        <v>46214</v>
      </c>
      <c r="AD230" s="3" t="n">
        <v>1</v>
      </c>
      <c r="AE230" s="3" t="inlineStr">
        <is>
          <t>141</t>
        </is>
      </c>
      <c r="AF230" s="3" t="inlineStr"/>
      <c r="AG230" s="3" t="inlineStr"/>
      <c r="AH230" s="3" t="inlineStr"/>
      <c r="AI230" s="3" t="inlineStr"/>
      <c r="AJ230" s="3" t="inlineStr"/>
      <c r="AK230" s="5" t="n">
        <v>1200</v>
      </c>
      <c r="AL230" s="5" t="n">
        <v>216</v>
      </c>
      <c r="AM230" s="5" t="n">
        <v>1416</v>
      </c>
      <c r="AN230" s="3" t="inlineStr"/>
      <c r="AO230" s="5" t="n">
        <v>0</v>
      </c>
      <c r="AP230" s="5" t="n">
        <v>-1416</v>
      </c>
      <c r="AQ230" s="3" t="inlineStr"/>
    </row>
    <row r="231">
      <c r="A231" s="3" t="inlineStr">
        <is>
          <t>218</t>
        </is>
      </c>
      <c r="B231" s="3" t="inlineStr">
        <is>
          <t>NGS 260233</t>
        </is>
      </c>
      <c r="C231" s="4" t="n">
        <v>46213</v>
      </c>
      <c r="D231" s="3" t="inlineStr">
        <is>
          <t>July- 2026</t>
        </is>
      </c>
      <c r="E231" s="4" t="n">
        <v>46213</v>
      </c>
      <c r="F231" s="3" t="inlineStr">
        <is>
          <t>Mr.Digil</t>
        </is>
      </c>
      <c r="G231" s="3" t="inlineStr">
        <is>
          <t>Geno Connect Services Private Limited</t>
        </is>
      </c>
      <c r="H231" s="3" t="inlineStr">
        <is>
          <t>Geno Connect Services Private Limited</t>
        </is>
      </c>
      <c r="I231" s="3" t="inlineStr">
        <is>
          <t>Genoconnect.pvt.ltd@gmail.com</t>
        </is>
      </c>
      <c r="J231" s="3" t="inlineStr">
        <is>
          <t>9400039514</t>
        </is>
      </c>
      <c r="K231" s="3" t="inlineStr">
        <is>
          <t>Low Pass Whole Genome Sequencing On Illumina Novaseq X Plus Platform</t>
        </is>
      </c>
      <c r="L231" s="3" t="inlineStr">
        <is>
          <t>Swab Samples</t>
        </is>
      </c>
      <c r="M231" s="3" t="inlineStr">
        <is>
          <t>Low Pass Wgs</t>
        </is>
      </c>
      <c r="N231" s="3" t="inlineStr">
        <is>
          <t xml:space="preserve">Without Analysis </t>
        </is>
      </c>
      <c r="O231" s="3" t="n">
        <v>1</v>
      </c>
      <c r="P231" s="3" t="inlineStr">
        <is>
          <t>3 GB/Sample</t>
        </is>
      </c>
      <c r="Q231" s="3" t="n">
        <v>3</v>
      </c>
      <c r="R231" s="3" t="n">
        <v>3</v>
      </c>
      <c r="S231" s="3" t="n">
        <v>3000</v>
      </c>
      <c r="T231" s="5" t="n">
        <v>3000</v>
      </c>
      <c r="U231" s="5" t="n">
        <v>540</v>
      </c>
      <c r="V231" s="5" t="n">
        <v>3540</v>
      </c>
      <c r="W231" s="3" t="inlineStr">
        <is>
          <t>UG/NGS/TP/2512388R1</t>
        </is>
      </c>
      <c r="X231" s="3" t="inlineStr">
        <is>
          <t>Direct</t>
        </is>
      </c>
      <c r="Y231" s="3" t="inlineStr">
        <is>
          <t>South</t>
        </is>
      </c>
      <c r="Z231" s="3" t="inlineStr">
        <is>
          <t>Kozhikode</t>
        </is>
      </c>
      <c r="AA231" s="3" t="n">
        <v>1</v>
      </c>
      <c r="AB231" s="3" t="n">
        <v>0</v>
      </c>
      <c r="AC231" s="4" t="n">
        <v>46214</v>
      </c>
      <c r="AD231" s="3" t="n">
        <v>1</v>
      </c>
      <c r="AE231" s="3" t="inlineStr"/>
      <c r="AF231" s="3" t="inlineStr"/>
      <c r="AG231" s="3" t="inlineStr"/>
      <c r="AH231" s="3" t="inlineStr"/>
      <c r="AI231" s="3" t="inlineStr"/>
      <c r="AJ231" s="3" t="inlineStr"/>
      <c r="AK231" s="5" t="n">
        <v>3000</v>
      </c>
      <c r="AL231" s="5" t="n">
        <v>540</v>
      </c>
      <c r="AM231" s="5" t="n">
        <v>3540</v>
      </c>
      <c r="AN231" s="3" t="inlineStr"/>
      <c r="AO231" s="5" t="n">
        <v>0</v>
      </c>
      <c r="AP231" s="5" t="n">
        <v>-3540</v>
      </c>
      <c r="AQ231" s="3" t="inlineStr"/>
    </row>
    <row r="232">
      <c r="A232" s="3" t="inlineStr">
        <is>
          <t>219</t>
        </is>
      </c>
      <c r="B232" s="3" t="inlineStr">
        <is>
          <t>NGS 260234</t>
        </is>
      </c>
      <c r="C232" s="4" t="n">
        <v>46213</v>
      </c>
      <c r="D232" s="3" t="inlineStr">
        <is>
          <t>July- 2026</t>
        </is>
      </c>
      <c r="E232" s="4" t="n">
        <v>46213</v>
      </c>
      <c r="F232" s="3" t="inlineStr">
        <is>
          <t>Dr.Chozhavel Rajanathan</t>
        </is>
      </c>
      <c r="G232" s="3" t="inlineStr">
        <is>
          <t>Intas Pharmaceuticals</t>
        </is>
      </c>
      <c r="H232" s="3" t="inlineStr">
        <is>
          <t>Intas Pharmaceuticals</t>
        </is>
      </c>
      <c r="I232" s="3" t="inlineStr">
        <is>
          <t>Shreelekha_Dutta@intaspharma.com</t>
        </is>
      </c>
      <c r="J232" s="3" t="inlineStr"/>
      <c r="K232" s="3" t="inlineStr">
        <is>
          <t>Whole Genome Sequencing On Illumina Novaseq X Plus Platform</t>
        </is>
      </c>
      <c r="L232" s="3" t="inlineStr">
        <is>
          <t>DNA</t>
        </is>
      </c>
      <c r="M232" s="3" t="inlineStr">
        <is>
          <t>Wgs Seq</t>
        </is>
      </c>
      <c r="N232" s="3" t="inlineStr">
        <is>
          <t>With Analysis</t>
        </is>
      </c>
      <c r="O232" s="3" t="n">
        <v>1</v>
      </c>
      <c r="P232" s="3" t="inlineStr">
        <is>
          <t>1 GB/sample</t>
        </is>
      </c>
      <c r="Q232" s="3" t="n">
        <v>1</v>
      </c>
      <c r="R232" s="3" t="n">
        <v>1</v>
      </c>
      <c r="S232" s="3" t="n">
        <v>14000</v>
      </c>
      <c r="T232" s="5" t="n">
        <v>14000</v>
      </c>
      <c r="U232" s="5" t="n">
        <v>2520</v>
      </c>
      <c r="V232" s="5" t="n">
        <v>16520</v>
      </c>
      <c r="W232" s="3" t="inlineStr"/>
      <c r="X232" s="3" t="inlineStr">
        <is>
          <t>Direct</t>
        </is>
      </c>
      <c r="Y232" s="3" t="inlineStr">
        <is>
          <t>We</t>
        </is>
      </c>
      <c r="Z232" s="3" t="inlineStr">
        <is>
          <t>Ahme</t>
        </is>
      </c>
      <c r="AA232" s="3" t="inlineStr"/>
      <c r="AB232" s="3" t="n">
        <v>1</v>
      </c>
      <c r="AC232" s="3" t="inlineStr"/>
      <c r="AD232" s="3" t="inlineStr"/>
      <c r="AE232" s="3" t="inlineStr"/>
      <c r="AF232" s="3" t="inlineStr"/>
      <c r="AG232" s="3" t="inlineStr"/>
      <c r="AH232" s="3" t="inlineStr"/>
      <c r="AI232" s="3" t="inlineStr"/>
      <c r="AJ232" s="3" t="inlineStr"/>
      <c r="AK232" s="5" t="n">
        <v>0</v>
      </c>
      <c r="AL232" s="5" t="n">
        <v>0</v>
      </c>
      <c r="AM232" s="5" t="n">
        <v>0</v>
      </c>
      <c r="AN232" s="3" t="inlineStr"/>
      <c r="AO232" s="5" t="n">
        <v>0</v>
      </c>
      <c r="AP232" s="5" t="n">
        <v>0</v>
      </c>
      <c r="AQ232" s="3" t="inlineStr"/>
    </row>
    <row r="233">
      <c r="A233" s="3" t="inlineStr">
        <is>
          <t>220</t>
        </is>
      </c>
      <c r="B233" s="3" t="inlineStr">
        <is>
          <t>NGS 260235</t>
        </is>
      </c>
      <c r="C233" s="4" t="n">
        <v>46214</v>
      </c>
      <c r="D233" s="3" t="inlineStr">
        <is>
          <t>July- 2026</t>
        </is>
      </c>
      <c r="E233" s="4" t="n">
        <v>46216</v>
      </c>
      <c r="F233" s="3" t="inlineStr">
        <is>
          <t>Sudharson Narayanan</t>
        </is>
      </c>
      <c r="G233" s="3" t="inlineStr">
        <is>
          <t>Symbiont Life Sciences</t>
        </is>
      </c>
      <c r="H233" s="3" t="inlineStr">
        <is>
          <t>Symbiont Life Sciences</t>
        </is>
      </c>
      <c r="I233" s="3" t="inlineStr">
        <is>
          <t>symbiontcs@gmail.com</t>
        </is>
      </c>
      <c r="J233" s="3" t="inlineStr">
        <is>
          <t>8838222756</t>
        </is>
      </c>
      <c r="K233" s="3" t="inlineStr">
        <is>
          <t>16S Rrna Metagenome V3-V4 Sequencing &amp; Analysis On Illumina Platforms</t>
        </is>
      </c>
      <c r="L233" s="3" t="inlineStr">
        <is>
          <t>Sludge, Culture And Bioproduct</t>
        </is>
      </c>
      <c r="M233" s="3" t="inlineStr">
        <is>
          <t>16S Seq</t>
        </is>
      </c>
      <c r="N233" s="3" t="inlineStr">
        <is>
          <t>With Analysis</t>
        </is>
      </c>
      <c r="O233" s="3" t="n">
        <v>2</v>
      </c>
      <c r="P233" s="3" t="inlineStr">
        <is>
          <t>1,00,000 reads/sample</t>
        </is>
      </c>
      <c r="Q233" s="3" t="inlineStr"/>
      <c r="R233" s="3" t="n">
        <v>0</v>
      </c>
      <c r="S233" s="3" t="n">
        <v>6000</v>
      </c>
      <c r="T233" s="5" t="n">
        <v>12000</v>
      </c>
      <c r="U233" s="5" t="n">
        <v>2160</v>
      </c>
      <c r="V233" s="5" t="n">
        <v>14160</v>
      </c>
      <c r="W233" s="3" t="inlineStr">
        <is>
          <t>UG/NGS/TP/2303214R2</t>
        </is>
      </c>
      <c r="X233" s="3" t="inlineStr">
        <is>
          <t>Direct</t>
        </is>
      </c>
      <c r="Y233" s="3" t="inlineStr">
        <is>
          <t>South</t>
        </is>
      </c>
      <c r="Z233" s="3" t="inlineStr">
        <is>
          <t>Chennai</t>
        </is>
      </c>
      <c r="AA233" s="3" t="inlineStr"/>
      <c r="AB233" s="3" t="n">
        <v>2</v>
      </c>
      <c r="AC233" s="3" t="inlineStr"/>
      <c r="AD233" s="3" t="inlineStr"/>
      <c r="AE233" s="3" t="inlineStr"/>
      <c r="AF233" s="3" t="inlineStr"/>
      <c r="AG233" s="3" t="inlineStr"/>
      <c r="AH233" s="3" t="inlineStr"/>
      <c r="AI233" s="3" t="inlineStr"/>
      <c r="AJ233" s="3" t="inlineStr"/>
      <c r="AK233" s="5" t="n">
        <v>0</v>
      </c>
      <c r="AL233" s="5" t="n">
        <v>0</v>
      </c>
      <c r="AM233" s="5" t="n">
        <v>0</v>
      </c>
      <c r="AN233" s="3" t="inlineStr"/>
      <c r="AO233" s="5" t="n">
        <v>0</v>
      </c>
      <c r="AP233" s="5" t="n">
        <v>0</v>
      </c>
      <c r="AQ233" s="3" t="inlineStr"/>
    </row>
    <row r="234">
      <c r="A234" s="3" t="inlineStr">
        <is>
          <t>221</t>
        </is>
      </c>
      <c r="B234" s="3" t="inlineStr">
        <is>
          <t>NGS 260236</t>
        </is>
      </c>
      <c r="C234" s="4" t="n">
        <v>46214</v>
      </c>
      <c r="D234" s="3" t="inlineStr">
        <is>
          <t>July- 2026</t>
        </is>
      </c>
      <c r="E234" s="4" t="n">
        <v>46216</v>
      </c>
      <c r="F234" s="3" t="inlineStr">
        <is>
          <t>Dr. Arpita Ghosh Mitra</t>
        </is>
      </c>
      <c r="G234" s="3" t="inlineStr">
        <is>
          <t>Rgcirc</t>
        </is>
      </c>
      <c r="H234" s="3" t="inlineStr">
        <is>
          <t>Rgcirc</t>
        </is>
      </c>
      <c r="I234" s="3" t="inlineStr">
        <is>
          <t xml:space="preserve">drrajatsaha78@gmail.com, ghosh.arpita@rgcirc.org </t>
        </is>
      </c>
      <c r="J234" s="3" t="inlineStr">
        <is>
          <t>9433489589</t>
        </is>
      </c>
      <c r="K234" s="3" t="inlineStr">
        <is>
          <t>Clinical Exome Sequencing With Mitochondria Illumina Novaseq X Plus Platform (Final Report)</t>
        </is>
      </c>
      <c r="L234" s="3" t="inlineStr">
        <is>
          <t>Ffpe Tissue</t>
        </is>
      </c>
      <c r="M234" s="3" t="inlineStr">
        <is>
          <t>Wes Seq</t>
        </is>
      </c>
      <c r="N234" s="3" t="inlineStr">
        <is>
          <t>With Analysis</t>
        </is>
      </c>
      <c r="O234" s="3" t="n">
        <v>20</v>
      </c>
      <c r="P234" s="3" t="inlineStr">
        <is>
          <t>8-10 GB/Sample</t>
        </is>
      </c>
      <c r="Q234" s="3" t="n">
        <v>10</v>
      </c>
      <c r="R234" s="3" t="n">
        <v>200</v>
      </c>
      <c r="S234" s="3" t="n">
        <v>16000</v>
      </c>
      <c r="T234" s="5" t="n">
        <v>320000</v>
      </c>
      <c r="U234" s="5" t="n">
        <v>57600</v>
      </c>
      <c r="V234" s="5" t="n">
        <v>377600</v>
      </c>
      <c r="W234" s="3" t="inlineStr"/>
      <c r="X234" s="3" t="inlineStr">
        <is>
          <t>harsh</t>
        </is>
      </c>
      <c r="Y234" s="3" t="inlineStr">
        <is>
          <t>North</t>
        </is>
      </c>
      <c r="Z234" s="3" t="inlineStr">
        <is>
          <t>New Delhi</t>
        </is>
      </c>
      <c r="AA234" s="3" t="inlineStr"/>
      <c r="AB234" s="3" t="n">
        <v>20</v>
      </c>
      <c r="AC234" s="3" t="inlineStr"/>
      <c r="AD234" s="3" t="inlineStr"/>
      <c r="AE234" s="3" t="inlineStr"/>
      <c r="AF234" s="3" t="inlineStr"/>
      <c r="AG234" s="3" t="inlineStr"/>
      <c r="AH234" s="3" t="inlineStr"/>
      <c r="AI234" s="3" t="inlineStr"/>
      <c r="AJ234" s="3" t="inlineStr"/>
      <c r="AK234" s="5" t="n">
        <v>0</v>
      </c>
      <c r="AL234" s="5" t="n">
        <v>0</v>
      </c>
      <c r="AM234" s="5" t="n">
        <v>0</v>
      </c>
      <c r="AN234" s="3" t="inlineStr"/>
      <c r="AO234" s="5" t="n">
        <v>0</v>
      </c>
      <c r="AP234" s="5" t="n">
        <v>0</v>
      </c>
      <c r="AQ234" s="3" t="inlineStr"/>
    </row>
    <row r="235">
      <c r="A235" s="3" t="inlineStr">
        <is>
          <t>222</t>
        </is>
      </c>
      <c r="B235" s="3" t="inlineStr">
        <is>
          <t>NGS 260237</t>
        </is>
      </c>
      <c r="C235" s="4" t="n">
        <v>46214</v>
      </c>
      <c r="D235" s="3" t="inlineStr">
        <is>
          <t>July- 2026</t>
        </is>
      </c>
      <c r="E235" s="4" t="n">
        <v>46216</v>
      </c>
      <c r="F235" s="3" t="inlineStr">
        <is>
          <t>Mr Rohit</t>
        </is>
      </c>
      <c r="G235" s="3" t="inlineStr">
        <is>
          <t>Gene Bio Solution</t>
        </is>
      </c>
      <c r="H235" s="3" t="inlineStr">
        <is>
          <t>Gene Bio Solution</t>
        </is>
      </c>
      <c r="I235" s="3" t="inlineStr">
        <is>
          <t>infogenebio@gmail.com</t>
        </is>
      </c>
      <c r="J235" s="3" t="inlineStr"/>
      <c r="K235" s="3" t="inlineStr">
        <is>
          <t>Whole Genome Re-Sequencing Of Illumina Novaseq X Plus Platform</t>
        </is>
      </c>
      <c r="L235" s="3" t="inlineStr">
        <is>
          <t>Tissue</t>
        </is>
      </c>
      <c r="M235" s="3" t="inlineStr">
        <is>
          <t>Wgs Seq</t>
        </is>
      </c>
      <c r="N235" s="3" t="inlineStr">
        <is>
          <t xml:space="preserve">With Analysis </t>
        </is>
      </c>
      <c r="O235" s="3" t="n">
        <v>1</v>
      </c>
      <c r="P235" s="3" t="inlineStr">
        <is>
          <t>100 GB/Sample</t>
        </is>
      </c>
      <c r="Q235" s="3" t="n">
        <v>100</v>
      </c>
      <c r="R235" s="3" t="n">
        <v>100</v>
      </c>
      <c r="S235" s="3" t="n">
        <v>55000</v>
      </c>
      <c r="T235" s="5" t="n">
        <v>55000</v>
      </c>
      <c r="U235" s="5" t="n">
        <v>9900</v>
      </c>
      <c r="V235" s="5" t="n">
        <v>64900</v>
      </c>
      <c r="W235" s="3" t="inlineStr">
        <is>
          <t>UG/NGS/TP/2606758</t>
        </is>
      </c>
      <c r="X235" s="3" t="inlineStr">
        <is>
          <t>Direct</t>
        </is>
      </c>
      <c r="Y235" s="3" t="inlineStr">
        <is>
          <t>North</t>
        </is>
      </c>
      <c r="Z235" s="3" t="inlineStr">
        <is>
          <t>Dehradun</t>
        </is>
      </c>
      <c r="AA235" s="3" t="inlineStr"/>
      <c r="AB235" s="3" t="n">
        <v>1</v>
      </c>
      <c r="AC235" s="3" t="inlineStr"/>
      <c r="AD235" s="3" t="inlineStr"/>
      <c r="AE235" s="3" t="inlineStr"/>
      <c r="AF235" s="3" t="inlineStr"/>
      <c r="AG235" s="3" t="inlineStr"/>
      <c r="AH235" s="3" t="inlineStr"/>
      <c r="AI235" s="3" t="inlineStr"/>
      <c r="AJ235" s="3" t="inlineStr"/>
      <c r="AK235" s="5" t="n">
        <v>0</v>
      </c>
      <c r="AL235" s="5" t="n">
        <v>0</v>
      </c>
      <c r="AM235" s="5" t="n">
        <v>0</v>
      </c>
      <c r="AN235" s="3" t="inlineStr"/>
      <c r="AO235" s="5" t="n">
        <v>0</v>
      </c>
      <c r="AP235" s="5" t="n">
        <v>0</v>
      </c>
      <c r="AQ235" s="3" t="inlineStr"/>
    </row>
    <row r="236">
      <c r="A236" s="3" t="inlineStr">
        <is>
          <t>223</t>
        </is>
      </c>
      <c r="B236" s="3" t="inlineStr">
        <is>
          <t>NGS 260238</t>
        </is>
      </c>
      <c r="C236" s="4" t="n">
        <v>46214</v>
      </c>
      <c r="D236" s="3" t="inlineStr">
        <is>
          <t>July- 2026</t>
        </is>
      </c>
      <c r="E236" s="4" t="n">
        <v>46216</v>
      </c>
      <c r="F236" s="3" t="inlineStr">
        <is>
          <t>Dr. Saran Kumar</t>
        </is>
      </c>
      <c r="G236" s="3" t="inlineStr">
        <is>
          <t>IIT-D</t>
        </is>
      </c>
      <c r="H236" s="3" t="inlineStr">
        <is>
          <t>IIT-D</t>
        </is>
      </c>
      <c r="I236" s="3" t="inlineStr">
        <is>
          <t>ksaran@iitd.ac.in</t>
        </is>
      </c>
      <c r="J236" s="3" t="inlineStr">
        <is>
          <t>7300916492</t>
        </is>
      </c>
      <c r="K236" s="3" t="inlineStr">
        <is>
          <t>Whole Transcriptome Sequencing &amp; Analysis On Illumina Platform</t>
        </is>
      </c>
      <c r="L236" s="3" t="inlineStr">
        <is>
          <t>Samples Are In Trizol</t>
        </is>
      </c>
      <c r="M236" s="3" t="inlineStr">
        <is>
          <t>Wts Seq</t>
        </is>
      </c>
      <c r="N236" s="3" t="inlineStr">
        <is>
          <t>Without Analysis</t>
        </is>
      </c>
      <c r="O236" s="3" t="n">
        <v>8</v>
      </c>
      <c r="P236" s="3" t="inlineStr">
        <is>
          <t>50 million read /sample (15 Gb/Sample)</t>
        </is>
      </c>
      <c r="Q236" s="3" t="n">
        <v>15</v>
      </c>
      <c r="R236" s="3" t="n">
        <v>120</v>
      </c>
      <c r="S236" s="3" t="n">
        <v>12460</v>
      </c>
      <c r="T236" s="5" t="n">
        <v>99680</v>
      </c>
      <c r="U236" s="5" t="n">
        <v>17942.4</v>
      </c>
      <c r="V236" s="5" t="n">
        <v>117622.4</v>
      </c>
      <c r="W236" s="3" t="inlineStr">
        <is>
          <t>UG/NGS/TP/2511323</t>
        </is>
      </c>
      <c r="X236" s="3" t="inlineStr">
        <is>
          <t xml:space="preserve">Harsh </t>
        </is>
      </c>
      <c r="Y236" s="3" t="inlineStr">
        <is>
          <t>Delhi</t>
        </is>
      </c>
      <c r="Z236" s="3" t="inlineStr">
        <is>
          <t>New Delhi</t>
        </is>
      </c>
      <c r="AA236" s="3" t="inlineStr"/>
      <c r="AB236" s="3" t="n">
        <v>8</v>
      </c>
      <c r="AC236" s="3" t="inlineStr"/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5" t="n">
        <v>0</v>
      </c>
      <c r="AL236" s="5" t="n">
        <v>0</v>
      </c>
      <c r="AM236" s="5" t="n">
        <v>0</v>
      </c>
      <c r="AN236" s="3" t="inlineStr"/>
      <c r="AO236" s="5" t="n">
        <v>0</v>
      </c>
      <c r="AP236" s="5" t="n">
        <v>0</v>
      </c>
      <c r="AQ236" s="3" t="inlineStr"/>
    </row>
    <row r="237">
      <c r="A237" s="3" t="inlineStr">
        <is>
          <t>224</t>
        </is>
      </c>
      <c r="B237" s="3" t="inlineStr">
        <is>
          <t>NGS 260239</t>
        </is>
      </c>
      <c r="C237" s="4" t="n">
        <v>46218</v>
      </c>
      <c r="D237" s="3" t="inlineStr">
        <is>
          <t>July- 2026</t>
        </is>
      </c>
      <c r="E237" s="4" t="n">
        <v>46218</v>
      </c>
      <c r="F237" s="3" t="inlineStr">
        <is>
          <t>N/A</t>
        </is>
      </c>
      <c r="G237" s="3" t="inlineStr">
        <is>
          <t>Geno Connect Services Private Limited</t>
        </is>
      </c>
      <c r="H237" s="3" t="inlineStr">
        <is>
          <t>Geno Connect Services Private Limited</t>
        </is>
      </c>
      <c r="I237" s="3" t="inlineStr">
        <is>
          <t>Genoconnect.pvt.ltd@gmail.com</t>
        </is>
      </c>
      <c r="J237" s="3" t="inlineStr">
        <is>
          <t>9400039514</t>
        </is>
      </c>
      <c r="K237" s="3" t="inlineStr">
        <is>
          <t>Low Pass Whole Genome Sequencing On Illumina Novaseq X Plus Platform</t>
        </is>
      </c>
      <c r="L237" s="3" t="inlineStr">
        <is>
          <t>Swab Samples</t>
        </is>
      </c>
      <c r="M237" s="3" t="inlineStr">
        <is>
          <t>Low Pass Wgs</t>
        </is>
      </c>
      <c r="N237" s="3" t="inlineStr">
        <is>
          <t xml:space="preserve">Without Analysis </t>
        </is>
      </c>
      <c r="O237" s="3" t="n">
        <v>1</v>
      </c>
      <c r="P237" s="3" t="inlineStr">
        <is>
          <t>3 GB/Sample</t>
        </is>
      </c>
      <c r="Q237" s="3" t="n">
        <v>3</v>
      </c>
      <c r="R237" s="3" t="n">
        <v>3</v>
      </c>
      <c r="S237" s="3" t="n">
        <v>3000</v>
      </c>
      <c r="T237" s="5" t="n">
        <v>3000</v>
      </c>
      <c r="U237" s="5" t="n">
        <v>540</v>
      </c>
      <c r="V237" s="5" t="n">
        <v>3540</v>
      </c>
      <c r="W237" s="3" t="inlineStr">
        <is>
          <t>UG/NGS/TP/2512388R1</t>
        </is>
      </c>
      <c r="X237" s="3" t="inlineStr">
        <is>
          <t>Direct</t>
        </is>
      </c>
      <c r="Y237" s="3" t="inlineStr">
        <is>
          <t>South</t>
        </is>
      </c>
      <c r="Z237" s="3" t="inlineStr">
        <is>
          <t>Kozhikode</t>
        </is>
      </c>
      <c r="AA237" s="3" t="n">
        <v>1</v>
      </c>
      <c r="AB237" s="3" t="n">
        <v>0</v>
      </c>
      <c r="AC237" s="4" t="n">
        <v>46219</v>
      </c>
      <c r="AD237" s="3" t="n">
        <v>1</v>
      </c>
      <c r="AE237" s="3" t="inlineStr"/>
      <c r="AF237" s="3" t="inlineStr"/>
      <c r="AG237" s="3" t="inlineStr"/>
      <c r="AH237" s="3" t="inlineStr"/>
      <c r="AI237" s="3" t="inlineStr"/>
      <c r="AJ237" s="3" t="inlineStr"/>
      <c r="AK237" s="5" t="n">
        <v>0</v>
      </c>
      <c r="AL237" s="5" t="n">
        <v>0</v>
      </c>
      <c r="AM237" s="5" t="n">
        <v>0</v>
      </c>
      <c r="AN237" s="3" t="inlineStr"/>
      <c r="AO237" s="5" t="n">
        <v>0</v>
      </c>
      <c r="AP237" s="5" t="n">
        <v>0</v>
      </c>
      <c r="AQ237" s="3" t="inlineStr"/>
    </row>
    <row r="238">
      <c r="A238" s="3" t="inlineStr">
        <is>
          <t>225</t>
        </is>
      </c>
      <c r="B238" s="3" t="inlineStr">
        <is>
          <t>NGS 260240</t>
        </is>
      </c>
      <c r="C238" s="4" t="n">
        <v>46218</v>
      </c>
      <c r="D238" s="3" t="inlineStr">
        <is>
          <t>July- 2026</t>
        </is>
      </c>
      <c r="E238" s="4" t="n">
        <v>46218</v>
      </c>
      <c r="F238" s="3" t="inlineStr">
        <is>
          <t>Dr. Shaji R V</t>
        </is>
      </c>
      <c r="G238" s="3" t="inlineStr">
        <is>
          <t>Cmc Vellore</t>
        </is>
      </c>
      <c r="H238" s="3" t="inlineStr">
        <is>
          <t>Cmc Vellore</t>
        </is>
      </c>
      <c r="I238" s="3" t="inlineStr">
        <is>
          <t>rvshaji@cmcvellore.ac.in/ manasi.rane@cmcvellore.ac.in</t>
        </is>
      </c>
      <c r="J238" s="3" t="inlineStr">
        <is>
          <t>9689109681/9751366680</t>
        </is>
      </c>
      <c r="K238" s="3" t="inlineStr">
        <is>
          <t>Transcriptome Sequencing On Illumina Novaseq X Plus Platform</t>
        </is>
      </c>
      <c r="L238" s="3" t="inlineStr">
        <is>
          <t>RNA</t>
        </is>
      </c>
      <c r="M238" s="3" t="inlineStr">
        <is>
          <t>Wts Seq</t>
        </is>
      </c>
      <c r="N238" s="3" t="inlineStr">
        <is>
          <t xml:space="preserve">Without Analysis </t>
        </is>
      </c>
      <c r="O238" s="3" t="n">
        <v>3</v>
      </c>
      <c r="P238" s="3" t="inlineStr">
        <is>
          <t>60 million reads (~9 GB) / sample</t>
        </is>
      </c>
      <c r="Q238" s="3" t="n">
        <v>6</v>
      </c>
      <c r="R238" s="3" t="n">
        <v>18</v>
      </c>
      <c r="S238" s="3" t="n">
        <v>10000</v>
      </c>
      <c r="T238" s="5" t="n">
        <v>30000</v>
      </c>
      <c r="U238" s="5" t="n">
        <v>5400</v>
      </c>
      <c r="V238" s="5" t="n">
        <v>35400</v>
      </c>
      <c r="W238" s="3" t="inlineStr">
        <is>
          <t>UG/NGS/TP/2603624R1</t>
        </is>
      </c>
      <c r="X238" s="3" t="inlineStr">
        <is>
          <t>Pugalendhi</t>
        </is>
      </c>
      <c r="Y238" s="3" t="inlineStr">
        <is>
          <t>South</t>
        </is>
      </c>
      <c r="Z238" s="3" t="inlineStr">
        <is>
          <t>Vellore</t>
        </is>
      </c>
      <c r="AA238" s="3" t="n">
        <v>2</v>
      </c>
      <c r="AB238" s="3" t="n">
        <v>1</v>
      </c>
      <c r="AC238" s="4" t="n">
        <v>46219</v>
      </c>
      <c r="AD238" s="3" t="n">
        <v>1</v>
      </c>
      <c r="AE238" s="3" t="inlineStr"/>
      <c r="AF238" s="3" t="inlineStr"/>
      <c r="AG238" s="3" t="inlineStr"/>
      <c r="AH238" s="3" t="inlineStr"/>
      <c r="AI238" s="3" t="inlineStr"/>
      <c r="AJ238" s="3" t="inlineStr"/>
      <c r="AK238" s="5" t="n">
        <v>0</v>
      </c>
      <c r="AL238" s="5" t="n">
        <v>0</v>
      </c>
      <c r="AM238" s="5" t="n">
        <v>0</v>
      </c>
      <c r="AN238" s="3" t="inlineStr"/>
      <c r="AO238" s="5" t="n">
        <v>0</v>
      </c>
      <c r="AP238" s="5" t="n">
        <v>0</v>
      </c>
      <c r="AQ23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9" customWidth="1" min="3" max="3"/>
    <col width="18" customWidth="1" min="4" max="4"/>
    <col width="21" customWidth="1" min="5" max="5"/>
    <col width="13" customWidth="1" min="6" max="6"/>
    <col width="18" customWidth="1" min="7" max="7"/>
    <col width="21" customWidth="1" min="8" max="8"/>
    <col width="23" customWidth="1" min="9" max="9"/>
    <col width="16" customWidth="1" min="10" max="10"/>
  </cols>
  <sheetData>
    <row r="1">
      <c r="A1" s="2" t="inlineStr">
        <is>
          <t>PROJECT ID</t>
        </is>
      </c>
      <c r="B1" s="2" t="inlineStr">
        <is>
          <t>BILLING</t>
        </is>
      </c>
      <c r="C1" s="2" t="inlineStr">
        <is>
          <t>Remark</t>
        </is>
      </c>
      <c r="D1" s="2" t="inlineStr">
        <is>
          <t>INVOICE NO.</t>
        </is>
      </c>
      <c r="E1" s="2" t="inlineStr">
        <is>
          <t>INVOICE DATE .</t>
        </is>
      </c>
      <c r="F1" s="2" t="inlineStr">
        <is>
          <t>Invoice TAT</t>
        </is>
      </c>
      <c r="G1" s="2" t="inlineStr">
        <is>
          <t>Received Payment</t>
        </is>
      </c>
      <c r="H1" s="2" t="inlineStr">
        <is>
          <t>Remaining payment</t>
        </is>
      </c>
      <c r="I1" s="2" t="inlineStr">
        <is>
          <t>Payment Received Date</t>
        </is>
      </c>
      <c r="J1" s="2" t="inlineStr">
        <is>
          <t>Overdue by day</t>
        </is>
      </c>
    </row>
    <row r="2">
      <c r="A2" s="3" t="inlineStr">
        <is>
          <t>NGS 26001</t>
        </is>
      </c>
      <c r="B2" s="3" t="inlineStr">
        <is>
          <t>Novelgene Technology Private Limited</t>
        </is>
      </c>
      <c r="C2" s="3" t="inlineStr">
        <is>
          <t>Project Closure</t>
        </is>
      </c>
      <c r="D2" s="3" t="inlineStr">
        <is>
          <t>UPL/GEN/356/2526</t>
        </is>
      </c>
      <c r="E2" s="4" t="n">
        <v>46093</v>
      </c>
      <c r="F2" s="3" t="n">
        <v>126</v>
      </c>
      <c r="G2" s="3" t="n">
        <v>127440</v>
      </c>
      <c r="H2" s="3" t="n">
        <v>0</v>
      </c>
      <c r="I2" s="4" t="n">
        <v>25569</v>
      </c>
      <c r="J2" s="3" t="n">
        <v>96</v>
      </c>
    </row>
    <row r="3">
      <c r="A3" s="3" t="inlineStr">
        <is>
          <t>NGS 26002</t>
        </is>
      </c>
      <c r="B3" s="3" t="inlineStr">
        <is>
          <t>Novelgene Technology Private Limited</t>
        </is>
      </c>
      <c r="C3" s="3" t="inlineStr">
        <is>
          <t>Project Closure</t>
        </is>
      </c>
      <c r="D3" s="3" t="inlineStr">
        <is>
          <t>UPL/GEN/357/2526</t>
        </is>
      </c>
      <c r="E3" s="4" t="n">
        <v>46093</v>
      </c>
      <c r="F3" s="3" t="n">
        <v>126</v>
      </c>
      <c r="G3" s="3" t="n">
        <v>169920</v>
      </c>
      <c r="H3" s="3" t="n">
        <v>0</v>
      </c>
      <c r="I3" s="4" t="n">
        <v>25569</v>
      </c>
      <c r="J3" s="3" t="n">
        <v>96</v>
      </c>
    </row>
    <row r="4">
      <c r="A4" s="3" t="inlineStr">
        <is>
          <t>NGS 26003</t>
        </is>
      </c>
      <c r="B4" s="3" t="inlineStr">
        <is>
          <t>Novelgene Technology Private Limited</t>
        </is>
      </c>
      <c r="C4" s="3" t="inlineStr">
        <is>
          <t>Project Closure</t>
        </is>
      </c>
      <c r="D4" s="3" t="inlineStr">
        <is>
          <t>UPL/GEN/358/2526</t>
        </is>
      </c>
      <c r="E4" s="4" t="n">
        <v>46093</v>
      </c>
      <c r="F4" s="3" t="n">
        <v>126</v>
      </c>
      <c r="G4" s="3" t="n">
        <v>0</v>
      </c>
      <c r="H4" s="3" t="n">
        <v>-127440</v>
      </c>
      <c r="I4" s="4" t="n">
        <v>25569</v>
      </c>
      <c r="J4" s="3" t="n">
        <v>96</v>
      </c>
    </row>
    <row r="5">
      <c r="A5" s="3" t="inlineStr">
        <is>
          <t>NGS 26004</t>
        </is>
      </c>
      <c r="B5" s="3" t="inlineStr">
        <is>
          <t>Future Biotech</t>
        </is>
      </c>
      <c r="C5" s="3" t="inlineStr">
        <is>
          <t>QC Fail</t>
        </is>
      </c>
      <c r="D5" s="3" t="inlineStr">
        <is>
          <t>0</t>
        </is>
      </c>
      <c r="E5" s="3" t="inlineStr"/>
      <c r="F5" s="3" t="n">
        <v>0</v>
      </c>
      <c r="G5" s="3" t="n">
        <v>0</v>
      </c>
      <c r="H5" s="3" t="n">
        <v>0</v>
      </c>
      <c r="I5" s="4" t="n">
        <v>25569</v>
      </c>
      <c r="J5" s="3" t="n">
        <v>-30</v>
      </c>
    </row>
    <row r="6">
      <c r="A6" s="3" t="inlineStr">
        <is>
          <t>NGS 26005</t>
        </is>
      </c>
      <c r="B6" s="3" t="inlineStr">
        <is>
          <t>Future Biotech</t>
        </is>
      </c>
      <c r="C6" s="3" t="inlineStr">
        <is>
          <t>QC Fail</t>
        </is>
      </c>
      <c r="D6" s="3" t="inlineStr">
        <is>
          <t>0</t>
        </is>
      </c>
      <c r="E6" s="3" t="inlineStr"/>
      <c r="F6" s="3" t="n">
        <v>0</v>
      </c>
      <c r="G6" s="3" t="n">
        <v>0</v>
      </c>
      <c r="H6" s="3" t="n">
        <v>0</v>
      </c>
      <c r="I6" s="4" t="n">
        <v>25569</v>
      </c>
      <c r="J6" s="3" t="n">
        <v>-30</v>
      </c>
    </row>
    <row r="7">
      <c r="A7" s="3" t="inlineStr">
        <is>
          <t>NGS 26006</t>
        </is>
      </c>
      <c r="B7" s="3" t="inlineStr">
        <is>
          <t>Future Biotech</t>
        </is>
      </c>
      <c r="C7" s="3" t="inlineStr">
        <is>
          <t>QC Fail</t>
        </is>
      </c>
      <c r="D7" s="3" t="inlineStr">
        <is>
          <t>0</t>
        </is>
      </c>
      <c r="E7" s="3" t="inlineStr"/>
      <c r="F7" s="3" t="n">
        <v>0</v>
      </c>
      <c r="G7" s="3" t="n">
        <v>0</v>
      </c>
      <c r="H7" s="3" t="n">
        <v>0</v>
      </c>
      <c r="I7" s="4" t="n">
        <v>25569</v>
      </c>
      <c r="J7" s="3" t="n">
        <v>-30</v>
      </c>
    </row>
    <row r="8">
      <c r="A8" s="3" t="inlineStr">
        <is>
          <t>NGS 26007</t>
        </is>
      </c>
      <c r="B8" s="3" t="inlineStr">
        <is>
          <t>Symbiont Life Sciences</t>
        </is>
      </c>
      <c r="C8" s="3" t="inlineStr">
        <is>
          <t>Project Closure</t>
        </is>
      </c>
      <c r="D8" s="3" t="inlineStr">
        <is>
          <t>UPL/GEN/2627/02</t>
        </is>
      </c>
      <c r="E8" s="4" t="n">
        <v>46118</v>
      </c>
      <c r="F8" s="3" t="n">
        <v>101</v>
      </c>
      <c r="G8" s="3" t="n">
        <v>7670</v>
      </c>
      <c r="H8" s="3" t="n">
        <v>0</v>
      </c>
      <c r="I8" s="4" t="n">
        <v>25569</v>
      </c>
      <c r="J8" s="3" t="n">
        <v>71</v>
      </c>
    </row>
    <row r="9">
      <c r="A9" s="3" t="inlineStr">
        <is>
          <t>NGS 26008</t>
        </is>
      </c>
      <c r="B9" s="3" t="inlineStr">
        <is>
          <t>ICAR-Cswri,Avikanagar</t>
        </is>
      </c>
      <c r="C9" s="3" t="inlineStr">
        <is>
          <t>Project Closure</t>
        </is>
      </c>
      <c r="D9" s="3" t="inlineStr">
        <is>
          <t>UPL/GEN/349/2526</t>
        </is>
      </c>
      <c r="E9" s="4" t="n">
        <v>46092</v>
      </c>
      <c r="F9" s="3" t="n">
        <v>127</v>
      </c>
      <c r="G9" s="3" t="n">
        <v>40120</v>
      </c>
      <c r="H9" s="3" t="n">
        <v>0</v>
      </c>
      <c r="I9" s="4" t="n">
        <v>25569</v>
      </c>
      <c r="J9" s="3" t="n">
        <v>97</v>
      </c>
    </row>
    <row r="10">
      <c r="A10" s="3" t="inlineStr">
        <is>
          <t>NGS 260009</t>
        </is>
      </c>
      <c r="B10" s="3" t="inlineStr">
        <is>
          <t>Labdose</t>
        </is>
      </c>
      <c r="C10" s="3" t="inlineStr">
        <is>
          <t>0</t>
        </is>
      </c>
      <c r="D10" s="3" t="inlineStr">
        <is>
          <t>0</t>
        </is>
      </c>
      <c r="E10" s="3" t="inlineStr"/>
      <c r="F10" s="3" t="n">
        <v>0</v>
      </c>
      <c r="G10" s="3" t="n">
        <v>0</v>
      </c>
      <c r="H10" s="3" t="n">
        <v>-49560</v>
      </c>
      <c r="I10" s="4" t="n">
        <v>25569</v>
      </c>
      <c r="J10" s="3" t="n">
        <v>-30</v>
      </c>
    </row>
    <row r="11">
      <c r="A11" s="3" t="inlineStr">
        <is>
          <t>NGS 260010</t>
        </is>
      </c>
      <c r="B11" s="3" t="inlineStr">
        <is>
          <t>Labdose</t>
        </is>
      </c>
      <c r="C11" s="3" t="inlineStr">
        <is>
          <t>0</t>
        </is>
      </c>
      <c r="D11" s="3" t="inlineStr">
        <is>
          <t>0</t>
        </is>
      </c>
      <c r="E11" s="3" t="inlineStr"/>
      <c r="F11" s="3" t="n">
        <v>0</v>
      </c>
      <c r="G11" s="3" t="n">
        <v>0</v>
      </c>
      <c r="H11" s="3" t="n">
        <v>-66080</v>
      </c>
      <c r="I11" s="4" t="n">
        <v>25569</v>
      </c>
      <c r="J11" s="3" t="n">
        <v>-30</v>
      </c>
    </row>
    <row r="12">
      <c r="A12" s="3" t="inlineStr">
        <is>
          <t>NGS 26011</t>
        </is>
      </c>
      <c r="B12" s="3" t="inlineStr">
        <is>
          <t>IIT-D</t>
        </is>
      </c>
      <c r="C12" s="3" t="inlineStr">
        <is>
          <t>Project Closure</t>
        </is>
      </c>
      <c r="D12" s="3" t="inlineStr">
        <is>
          <t>UPL/GEN/135/2526</t>
        </is>
      </c>
      <c r="E12" s="4" t="n">
        <v>45877</v>
      </c>
      <c r="F12" s="3" t="n">
        <v>342</v>
      </c>
      <c r="G12" s="3" t="n">
        <v>102920</v>
      </c>
      <c r="H12" s="3" t="n">
        <v>-0.3999999999941792</v>
      </c>
      <c r="I12" s="4" t="n">
        <v>25569</v>
      </c>
      <c r="J12" s="3" t="n">
        <v>312</v>
      </c>
    </row>
    <row r="13">
      <c r="A13" s="3" t="inlineStr">
        <is>
          <t>NGS 26012</t>
        </is>
      </c>
      <c r="B13" s="3" t="inlineStr">
        <is>
          <t>IIT-D</t>
        </is>
      </c>
      <c r="C13" s="3" t="inlineStr">
        <is>
          <t>Project Closure</t>
        </is>
      </c>
      <c r="D13" s="3" t="inlineStr">
        <is>
          <t>UPL/GEN/2627/05</t>
        </is>
      </c>
      <c r="E13" s="4" t="n">
        <v>46119</v>
      </c>
      <c r="F13" s="3" t="n">
        <v>100</v>
      </c>
      <c r="G13" s="3" t="n">
        <v>75520</v>
      </c>
      <c r="H13" s="3" t="n">
        <v>0</v>
      </c>
      <c r="I13" s="4" t="n">
        <v>25569</v>
      </c>
      <c r="J13" s="3" t="n">
        <v>70</v>
      </c>
    </row>
    <row r="14">
      <c r="A14" s="3" t="inlineStr">
        <is>
          <t>NGS 26013</t>
        </is>
      </c>
      <c r="B14" s="3" t="inlineStr">
        <is>
          <t>Drde Gwalior</t>
        </is>
      </c>
      <c r="C14" s="3" t="inlineStr">
        <is>
          <t>Project Closure</t>
        </is>
      </c>
      <c r="D14" s="3" t="inlineStr">
        <is>
          <t>UPL/GEN/283/2526</t>
        </is>
      </c>
      <c r="E14" s="4" t="n">
        <v>46022</v>
      </c>
      <c r="F14" s="3" t="n">
        <v>197</v>
      </c>
      <c r="G14" s="3" t="n">
        <v>0</v>
      </c>
      <c r="H14" s="3" t="n">
        <v>-174876</v>
      </c>
      <c r="I14" s="4" t="n">
        <v>25569</v>
      </c>
      <c r="J14" s="3" t="n">
        <v>167</v>
      </c>
    </row>
    <row r="15">
      <c r="A15" s="3" t="inlineStr">
        <is>
          <t>NGS 260014</t>
        </is>
      </c>
      <c r="B15" s="3" t="inlineStr">
        <is>
          <t>Sukshma Lifescience Technologies</t>
        </is>
      </c>
      <c r="C15" s="3" t="inlineStr">
        <is>
          <t>Project Closure</t>
        </is>
      </c>
      <c r="D15" s="3" t="inlineStr">
        <is>
          <t>UPL/GEN/2627/54</t>
        </is>
      </c>
      <c r="E15" s="4" t="n">
        <v>46192</v>
      </c>
      <c r="F15" s="3" t="n">
        <v>27</v>
      </c>
      <c r="G15" s="3" t="n">
        <v>12980</v>
      </c>
      <c r="H15" s="3" t="n">
        <v>0</v>
      </c>
      <c r="I15" s="4" t="n">
        <v>25569</v>
      </c>
      <c r="J15" s="3" t="n">
        <v>-3</v>
      </c>
    </row>
    <row r="16">
      <c r="A16" s="3" t="inlineStr">
        <is>
          <t>NGS 260015</t>
        </is>
      </c>
      <c r="B16" s="3" t="inlineStr">
        <is>
          <t>Symbiont Life Sciences</t>
        </is>
      </c>
      <c r="C16" s="3" t="inlineStr">
        <is>
          <t>Project Closure</t>
        </is>
      </c>
      <c r="D16" s="3" t="inlineStr">
        <is>
          <t>UPL/GEN/443/2526</t>
        </is>
      </c>
      <c r="E16" s="4" t="n">
        <v>46112</v>
      </c>
      <c r="F16" s="3" t="n">
        <v>107</v>
      </c>
      <c r="G16" s="3" t="n">
        <v>265500</v>
      </c>
      <c r="H16" s="3" t="n">
        <v>0</v>
      </c>
      <c r="I16" s="4" t="n">
        <v>25569</v>
      </c>
      <c r="J16" s="3" t="n">
        <v>77</v>
      </c>
    </row>
    <row r="17">
      <c r="A17" s="3" t="inlineStr">
        <is>
          <t>NGS 260016</t>
        </is>
      </c>
      <c r="B17" s="3" t="inlineStr">
        <is>
          <t>Cmc Vellore</t>
        </is>
      </c>
      <c r="C17" s="3" t="inlineStr">
        <is>
          <t>Project Closure</t>
        </is>
      </c>
      <c r="D17" s="3" t="inlineStr">
        <is>
          <t>UPL/GEN/328/2526</t>
        </is>
      </c>
      <c r="E17" s="4" t="n">
        <v>46064</v>
      </c>
      <c r="F17" s="3" t="n">
        <v>155</v>
      </c>
      <c r="G17" s="3" t="n">
        <v>1449276</v>
      </c>
      <c r="H17" s="3" t="n">
        <v>0</v>
      </c>
      <c r="I17" s="4" t="n">
        <v>25569</v>
      </c>
      <c r="J17" s="3" t="n">
        <v>125</v>
      </c>
    </row>
    <row r="18">
      <c r="A18" s="3" t="inlineStr">
        <is>
          <t>NGS 260017</t>
        </is>
      </c>
      <c r="B18" s="3" t="inlineStr">
        <is>
          <t>Biologia Research</t>
        </is>
      </c>
      <c r="C18" s="3" t="inlineStr">
        <is>
          <t>QC Fail</t>
        </is>
      </c>
      <c r="D18" s="3" t="inlineStr">
        <is>
          <t>0</t>
        </is>
      </c>
      <c r="E18" s="3" t="inlineStr"/>
      <c r="F18" s="3" t="n">
        <v>0</v>
      </c>
      <c r="G18" s="3" t="n">
        <v>0</v>
      </c>
      <c r="H18" s="3" t="n">
        <v>0</v>
      </c>
      <c r="I18" s="4" t="n">
        <v>25569</v>
      </c>
      <c r="J18" s="3" t="n">
        <v>-30</v>
      </c>
    </row>
    <row r="19">
      <c r="A19" s="3" t="inlineStr">
        <is>
          <t>NGS 260018</t>
        </is>
      </c>
      <c r="B19" s="3" t="inlineStr">
        <is>
          <t>Symbiont Life Sciences</t>
        </is>
      </c>
      <c r="C19" s="3" t="inlineStr">
        <is>
          <t>Project Closure</t>
        </is>
      </c>
      <c r="D19" s="3" t="inlineStr">
        <is>
          <t>UPL/GEN/386/2526</t>
        </is>
      </c>
      <c r="E19" s="4" t="n">
        <v>46100</v>
      </c>
      <c r="F19" s="3" t="n">
        <v>119</v>
      </c>
      <c r="G19" s="3" t="n">
        <v>75520</v>
      </c>
      <c r="H19" s="3" t="n">
        <v>0</v>
      </c>
      <c r="I19" s="4" t="n">
        <v>25569</v>
      </c>
      <c r="J19" s="3" t="n">
        <v>89</v>
      </c>
    </row>
    <row r="20">
      <c r="A20" s="3" t="inlineStr">
        <is>
          <t>NGS 260019</t>
        </is>
      </c>
      <c r="B20" s="3" t="inlineStr">
        <is>
          <t>Symbiont Life Sciences</t>
        </is>
      </c>
      <c r="C20" s="3" t="inlineStr">
        <is>
          <t>0</t>
        </is>
      </c>
      <c r="D20" s="3" t="inlineStr">
        <is>
          <t>0</t>
        </is>
      </c>
      <c r="E20" s="3" t="inlineStr"/>
      <c r="F20" s="3" t="n">
        <v>0</v>
      </c>
      <c r="G20" s="3" t="n">
        <v>0</v>
      </c>
      <c r="H20" s="3" t="n">
        <v>-61360</v>
      </c>
      <c r="I20" s="4" t="n">
        <v>25569</v>
      </c>
      <c r="J20" s="3" t="n">
        <v>-30</v>
      </c>
    </row>
    <row r="21">
      <c r="A21" s="3" t="inlineStr">
        <is>
          <t>NGS 260020</t>
        </is>
      </c>
      <c r="B21" s="3" t="inlineStr">
        <is>
          <t>Symbiont Life Sciences</t>
        </is>
      </c>
      <c r="C21" s="3" t="inlineStr">
        <is>
          <t>Project Closure</t>
        </is>
      </c>
      <c r="D21" s="3" t="inlineStr">
        <is>
          <t>UPL/GEN/2627/53</t>
        </is>
      </c>
      <c r="E21" s="4" t="n">
        <v>46192</v>
      </c>
      <c r="F21" s="3" t="n">
        <v>27</v>
      </c>
      <c r="G21" s="3" t="n">
        <v>17700</v>
      </c>
      <c r="H21" s="3" t="n">
        <v>0</v>
      </c>
      <c r="I21" s="4" t="n">
        <v>25569</v>
      </c>
      <c r="J21" s="3" t="n">
        <v>-3</v>
      </c>
    </row>
    <row r="22">
      <c r="A22" s="3" t="inlineStr">
        <is>
          <t>NGS 260021</t>
        </is>
      </c>
      <c r="B22" s="3" t="inlineStr">
        <is>
          <t>Rgcirc, Delhi</t>
        </is>
      </c>
      <c r="C22" s="3" t="inlineStr">
        <is>
          <t>Project Closure</t>
        </is>
      </c>
      <c r="D22" s="3" t="inlineStr">
        <is>
          <t>UPL/GEN/341/2526</t>
        </is>
      </c>
      <c r="E22" s="3" t="inlineStr"/>
      <c r="F22" s="3" t="n">
        <v>46219</v>
      </c>
      <c r="G22" s="3" t="n">
        <v>610060</v>
      </c>
      <c r="H22" s="3" t="n">
        <v>0</v>
      </c>
      <c r="I22" s="4" t="n">
        <v>25569</v>
      </c>
      <c r="J22" s="3" t="n">
        <v>46189</v>
      </c>
    </row>
    <row r="23">
      <c r="A23" s="3" t="inlineStr">
        <is>
          <t>NGS 260022</t>
        </is>
      </c>
      <c r="B23" s="3" t="inlineStr">
        <is>
          <t>Intas Pharmaceuticals</t>
        </is>
      </c>
      <c r="C23" s="3" t="inlineStr">
        <is>
          <t>Project Closure</t>
        </is>
      </c>
      <c r="D23" s="3" t="inlineStr">
        <is>
          <t>0</t>
        </is>
      </c>
      <c r="E23" s="3" t="inlineStr"/>
      <c r="F23" s="3" t="n">
        <v>46219</v>
      </c>
      <c r="G23" s="3" t="n">
        <v>0</v>
      </c>
      <c r="H23" s="3" t="n">
        <v>-49560</v>
      </c>
      <c r="I23" s="4" t="n">
        <v>25569</v>
      </c>
      <c r="J23" s="3" t="n">
        <v>46189</v>
      </c>
    </row>
    <row r="24">
      <c r="A24" s="3" t="inlineStr">
        <is>
          <t>NGS 260023</t>
        </is>
      </c>
      <c r="B24" s="3" t="inlineStr">
        <is>
          <t>Novelgene Technology Private Limited</t>
        </is>
      </c>
      <c r="C24" s="3" t="inlineStr">
        <is>
          <t>Project Closure</t>
        </is>
      </c>
      <c r="D24" s="3" t="inlineStr">
        <is>
          <t>UPL/GEN/442/2526</t>
        </is>
      </c>
      <c r="E24" s="4" t="n">
        <v>46112</v>
      </c>
      <c r="F24" s="3" t="n">
        <v>107</v>
      </c>
      <c r="G24" s="3" t="n">
        <v>0</v>
      </c>
      <c r="H24" s="3" t="n">
        <v>-95580</v>
      </c>
      <c r="I24" s="4" t="n">
        <v>25569</v>
      </c>
      <c r="J24" s="3" t="n">
        <v>77</v>
      </c>
    </row>
    <row r="25">
      <c r="A25" s="3" t="inlineStr">
        <is>
          <t>NGS 260024</t>
        </is>
      </c>
      <c r="B25" s="3" t="inlineStr">
        <is>
          <t>ICAR-Iivr, Varanasi</t>
        </is>
      </c>
      <c r="C25" s="3" t="inlineStr">
        <is>
          <t>Project Closure</t>
        </is>
      </c>
      <c r="D25" s="3" t="inlineStr">
        <is>
          <t>UPL/GEN/370/2526</t>
        </is>
      </c>
      <c r="E25" s="4" t="n">
        <v>46098</v>
      </c>
      <c r="F25" s="3" t="n">
        <v>121</v>
      </c>
      <c r="G25" s="3" t="n">
        <v>132160</v>
      </c>
      <c r="H25" s="3" t="n">
        <v>0</v>
      </c>
      <c r="I25" s="4" t="n">
        <v>25569</v>
      </c>
      <c r="J25" s="3" t="n">
        <v>91</v>
      </c>
    </row>
    <row r="26">
      <c r="A26" s="3" t="inlineStr">
        <is>
          <t>NGS 260025</t>
        </is>
      </c>
      <c r="B26" s="3" t="inlineStr">
        <is>
          <t>ICAR-Iivr, Varanasi</t>
        </is>
      </c>
      <c r="C26" s="3" t="inlineStr">
        <is>
          <t>Project Closure</t>
        </is>
      </c>
      <c r="D26" s="3" t="inlineStr">
        <is>
          <t>UPL/GEN/372/2526</t>
        </is>
      </c>
      <c r="E26" s="4" t="n">
        <v>46099</v>
      </c>
      <c r="F26" s="3" t="n">
        <v>120</v>
      </c>
      <c r="G26" s="3" t="n">
        <v>32214</v>
      </c>
      <c r="H26" s="3" t="n">
        <v>0</v>
      </c>
      <c r="I26" s="4" t="n">
        <v>25569</v>
      </c>
      <c r="J26" s="3" t="n">
        <v>90</v>
      </c>
    </row>
    <row r="27">
      <c r="A27" s="3" t="inlineStr">
        <is>
          <t>NGS 260026</t>
        </is>
      </c>
      <c r="B27" s="3" t="inlineStr">
        <is>
          <t>Symbiont Life Sciences</t>
        </is>
      </c>
      <c r="C27" s="3" t="inlineStr">
        <is>
          <t>Project Closure</t>
        </is>
      </c>
      <c r="D27" s="3" t="inlineStr">
        <is>
          <t>UPL/GEN/2627/59</t>
        </is>
      </c>
      <c r="E27" s="4" t="n">
        <v>46195</v>
      </c>
      <c r="F27" s="3" t="n">
        <v>24</v>
      </c>
      <c r="G27" s="3" t="n">
        <v>14160</v>
      </c>
      <c r="H27" s="3" t="n">
        <v>0</v>
      </c>
      <c r="I27" s="4" t="n">
        <v>25569</v>
      </c>
      <c r="J27" s="3" t="n">
        <v>-6</v>
      </c>
    </row>
    <row r="28">
      <c r="A28" s="3" t="inlineStr">
        <is>
          <t>NGS 260028</t>
        </is>
      </c>
      <c r="B28" s="3" t="inlineStr">
        <is>
          <t>Chromosome Labs Private</t>
        </is>
      </c>
      <c r="C28" s="3" t="inlineStr">
        <is>
          <t>Project Closure</t>
        </is>
      </c>
      <c r="D28" s="3" t="inlineStr">
        <is>
          <t>UPL/GEN/2627/24</t>
        </is>
      </c>
      <c r="E28" s="4" t="n">
        <v>46142</v>
      </c>
      <c r="F28" s="3" t="n">
        <v>77</v>
      </c>
      <c r="G28" s="3" t="n">
        <v>708000</v>
      </c>
      <c r="H28" s="3" t="n">
        <v>0</v>
      </c>
      <c r="I28" s="4" t="n">
        <v>25569</v>
      </c>
      <c r="J28" s="3" t="n">
        <v>47</v>
      </c>
    </row>
    <row r="29">
      <c r="A29" s="3" t="inlineStr">
        <is>
          <t>NGS 260029</t>
        </is>
      </c>
      <c r="B29" s="3" t="inlineStr">
        <is>
          <t>Symbiont Life Sciences</t>
        </is>
      </c>
      <c r="C29" s="3" t="inlineStr">
        <is>
          <t>Project Closure</t>
        </is>
      </c>
      <c r="D29" s="3" t="inlineStr">
        <is>
          <t>0</t>
        </is>
      </c>
      <c r="E29" s="3" t="inlineStr"/>
      <c r="F29" s="3" t="n">
        <v>46219</v>
      </c>
      <c r="G29" s="3" t="n">
        <v>0</v>
      </c>
      <c r="H29" s="3" t="n">
        <v>-21240</v>
      </c>
      <c r="I29" s="4" t="n">
        <v>25569</v>
      </c>
      <c r="J29" s="3" t="n">
        <v>46189</v>
      </c>
    </row>
    <row r="30">
      <c r="A30" s="3" t="inlineStr">
        <is>
          <t>NGS 260030</t>
        </is>
      </c>
      <c r="B30" s="3" t="inlineStr">
        <is>
          <t>Tmc-Actrec</t>
        </is>
      </c>
      <c r="C30" s="3" t="inlineStr">
        <is>
          <t>0</t>
        </is>
      </c>
      <c r="D30" s="3" t="inlineStr">
        <is>
          <t>0</t>
        </is>
      </c>
      <c r="E30" s="3" t="inlineStr"/>
      <c r="F30" s="3" t="n">
        <v>0</v>
      </c>
      <c r="G30" s="3" t="n">
        <v>0</v>
      </c>
      <c r="H30" s="3" t="n">
        <v>-300015</v>
      </c>
      <c r="I30" s="4" t="n">
        <v>25569</v>
      </c>
      <c r="J30" s="3" t="n">
        <v>-30</v>
      </c>
    </row>
    <row r="31">
      <c r="A31" s="3" t="inlineStr">
        <is>
          <t>NGS 260031</t>
        </is>
      </c>
      <c r="B31" s="3" t="inlineStr">
        <is>
          <t>Gujarat University</t>
        </is>
      </c>
      <c r="C31" s="3" t="inlineStr">
        <is>
          <t>Project Closure</t>
        </is>
      </c>
      <c r="D31" s="3" t="inlineStr">
        <is>
          <t>UPL/GEN/346/2526</t>
        </is>
      </c>
      <c r="E31" s="4" t="n">
        <v>46090</v>
      </c>
      <c r="F31" s="3" t="n">
        <v>129</v>
      </c>
      <c r="G31" s="3" t="n">
        <v>14160</v>
      </c>
      <c r="H31" s="3" t="n">
        <v>0</v>
      </c>
      <c r="I31" s="4" t="n">
        <v>25569</v>
      </c>
      <c r="J31" s="3" t="n">
        <v>99</v>
      </c>
    </row>
    <row r="32">
      <c r="A32" s="3" t="inlineStr">
        <is>
          <t>NGS 260032</t>
        </is>
      </c>
      <c r="B32" s="3" t="inlineStr">
        <is>
          <t>Symbiont Life Sciences</t>
        </is>
      </c>
      <c r="C32" s="3" t="inlineStr">
        <is>
          <t>Project Closure</t>
        </is>
      </c>
      <c r="D32" s="3" t="inlineStr">
        <is>
          <t>0</t>
        </is>
      </c>
      <c r="E32" s="3" t="inlineStr"/>
      <c r="F32" s="3" t="n">
        <v>46219</v>
      </c>
      <c r="G32" s="3" t="n">
        <v>0</v>
      </c>
      <c r="H32" s="3" t="n">
        <v>-23010</v>
      </c>
      <c r="I32" s="4" t="n">
        <v>25569</v>
      </c>
      <c r="J32" s="3" t="n">
        <v>46189</v>
      </c>
    </row>
    <row r="33">
      <c r="A33" s="3" t="inlineStr">
        <is>
          <t>NGS 260033</t>
        </is>
      </c>
      <c r="B33" s="3" t="inlineStr">
        <is>
          <t>Bio Berrys</t>
        </is>
      </c>
      <c r="C33" s="3" t="inlineStr">
        <is>
          <t>Project Closure</t>
        </is>
      </c>
      <c r="D33" s="3" t="inlineStr">
        <is>
          <t>UPL/GEN/2627/57</t>
        </is>
      </c>
      <c r="E33" s="4" t="n">
        <v>46192</v>
      </c>
      <c r="F33" s="3" t="n">
        <v>27</v>
      </c>
      <c r="G33" s="3" t="n">
        <v>4720</v>
      </c>
      <c r="H33" s="3" t="n">
        <v>0</v>
      </c>
      <c r="I33" s="4" t="n">
        <v>25569</v>
      </c>
      <c r="J33" s="3" t="n">
        <v>-3</v>
      </c>
    </row>
    <row r="34">
      <c r="A34" s="3" t="inlineStr">
        <is>
          <t>NGS 260034</t>
        </is>
      </c>
      <c r="B34" s="3" t="inlineStr">
        <is>
          <t>Rgcirc, Delhi</t>
        </is>
      </c>
      <c r="C34" s="3" t="inlineStr">
        <is>
          <t>Project Closure</t>
        </is>
      </c>
      <c r="D34" s="3" t="inlineStr">
        <is>
          <t>UPL/GEN/266/2526</t>
        </is>
      </c>
      <c r="E34" s="3" t="inlineStr"/>
      <c r="F34" s="3" t="n">
        <v>46219</v>
      </c>
      <c r="G34" s="3" t="n">
        <v>569940</v>
      </c>
      <c r="H34" s="3" t="n">
        <v>0</v>
      </c>
      <c r="I34" s="4" t="n">
        <v>25569</v>
      </c>
      <c r="J34" s="3" t="n">
        <v>46189</v>
      </c>
    </row>
    <row r="35">
      <c r="A35" s="3" t="inlineStr">
        <is>
          <t>NGS 260035</t>
        </is>
      </c>
      <c r="B35" s="3" t="inlineStr">
        <is>
          <t>Geno Connect Services Private Limited</t>
        </is>
      </c>
      <c r="C35" s="3" t="inlineStr">
        <is>
          <t>Project Closure</t>
        </is>
      </c>
      <c r="D35" s="3" t="inlineStr">
        <is>
          <t>UPL/GEN/389/2526</t>
        </is>
      </c>
      <c r="E35" s="4" t="n">
        <v>46104</v>
      </c>
      <c r="F35" s="3" t="n">
        <v>115</v>
      </c>
      <c r="G35" s="3" t="n">
        <v>46020</v>
      </c>
      <c r="H35" s="3" t="n">
        <v>0</v>
      </c>
      <c r="I35" s="4" t="n">
        <v>25569</v>
      </c>
      <c r="J35" s="3" t="n">
        <v>85</v>
      </c>
    </row>
    <row r="36">
      <c r="A36" s="3" t="inlineStr">
        <is>
          <t>NGS 260036</t>
        </is>
      </c>
      <c r="B36" s="3" t="inlineStr">
        <is>
          <t>Geno Connect Services Private Limited</t>
        </is>
      </c>
      <c r="C36" s="3" t="inlineStr">
        <is>
          <t>Project Closure</t>
        </is>
      </c>
      <c r="D36" s="3" t="inlineStr">
        <is>
          <t>UPL/GEN/390/2526</t>
        </is>
      </c>
      <c r="E36" s="4" t="n">
        <v>46104</v>
      </c>
      <c r="F36" s="3" t="n">
        <v>115</v>
      </c>
      <c r="G36" s="3" t="n">
        <v>56640</v>
      </c>
      <c r="H36" s="3" t="n">
        <v>0</v>
      </c>
      <c r="I36" s="4" t="n">
        <v>25569</v>
      </c>
      <c r="J36" s="3" t="n">
        <v>85</v>
      </c>
    </row>
    <row r="37">
      <c r="A37" s="3" t="inlineStr">
        <is>
          <t>NGS 260037</t>
        </is>
      </c>
      <c r="B37" s="3" t="inlineStr">
        <is>
          <t>Geno Connect Services Private Limited</t>
        </is>
      </c>
      <c r="C37" s="3" t="inlineStr">
        <is>
          <t>Project Closure</t>
        </is>
      </c>
      <c r="D37" s="3" t="inlineStr">
        <is>
          <t>UPL/GEN/391/2526</t>
        </is>
      </c>
      <c r="E37" s="4" t="n">
        <v>46104</v>
      </c>
      <c r="F37" s="3" t="n">
        <v>115</v>
      </c>
      <c r="G37" s="3" t="n">
        <v>4956</v>
      </c>
      <c r="H37" s="3" t="n">
        <v>0</v>
      </c>
      <c r="I37" s="4" t="n">
        <v>25569</v>
      </c>
      <c r="J37" s="3" t="n">
        <v>85</v>
      </c>
    </row>
    <row r="38">
      <c r="A38" s="3" t="inlineStr">
        <is>
          <t>NGS 260038</t>
        </is>
      </c>
      <c r="B38" s="3" t="inlineStr">
        <is>
          <t>St Xavier’S College</t>
        </is>
      </c>
      <c r="C38" s="3" t="inlineStr">
        <is>
          <t>Project Closure</t>
        </is>
      </c>
      <c r="D38" s="3" t="inlineStr">
        <is>
          <t>UPL/GEN/395/2526</t>
        </is>
      </c>
      <c r="E38" s="3" t="inlineStr"/>
      <c r="F38" s="3" t="inlineStr"/>
      <c r="G38" s="3" t="n">
        <v>0</v>
      </c>
      <c r="H38" s="3" t="n">
        <v>-68440</v>
      </c>
      <c r="I38" s="4" t="n">
        <v>25569</v>
      </c>
      <c r="J38" s="3" t="inlineStr"/>
    </row>
    <row r="39">
      <c r="A39" s="3" t="inlineStr">
        <is>
          <t>NGS 260039</t>
        </is>
      </c>
      <c r="B39" s="3" t="inlineStr">
        <is>
          <t>Genecare Biotech</t>
        </is>
      </c>
      <c r="C39" s="3" t="inlineStr">
        <is>
          <t>Cancel Project ()</t>
        </is>
      </c>
      <c r="D39" s="3" t="inlineStr">
        <is>
          <t>0</t>
        </is>
      </c>
      <c r="E39" s="3" t="inlineStr"/>
      <c r="F39" s="3" t="n">
        <v>0</v>
      </c>
      <c r="G39" s="3" t="n">
        <v>0</v>
      </c>
      <c r="H39" s="3" t="n">
        <v>-28320</v>
      </c>
      <c r="I39" s="4" t="n">
        <v>25569</v>
      </c>
      <c r="J39" s="3" t="n">
        <v>-30</v>
      </c>
    </row>
    <row r="40">
      <c r="A40" s="3" t="inlineStr">
        <is>
          <t>NGS 260039</t>
        </is>
      </c>
      <c r="B40" s="3" t="inlineStr">
        <is>
          <t>Genecare Biotech</t>
        </is>
      </c>
      <c r="C40" s="3" t="inlineStr">
        <is>
          <t>Cancel Project ()</t>
        </is>
      </c>
      <c r="D40" s="3" t="inlineStr">
        <is>
          <t>0</t>
        </is>
      </c>
      <c r="E40" s="3" t="inlineStr"/>
      <c r="F40" s="3" t="n">
        <v>0</v>
      </c>
      <c r="G40" s="3" t="n">
        <v>0</v>
      </c>
      <c r="H40" s="3" t="n">
        <v>-11800</v>
      </c>
      <c r="I40" s="4" t="n">
        <v>25569</v>
      </c>
      <c r="J40" s="3" t="n">
        <v>-30</v>
      </c>
    </row>
    <row r="41">
      <c r="A41" s="3" t="inlineStr">
        <is>
          <t>NGS 260040</t>
        </is>
      </c>
      <c r="B41" s="3" t="inlineStr">
        <is>
          <t>Actrec, Tata Memorial Centre</t>
        </is>
      </c>
      <c r="C41" s="3" t="inlineStr">
        <is>
          <t>Project Closure</t>
        </is>
      </c>
      <c r="D41" s="3" t="inlineStr">
        <is>
          <t>UPL/GEN/362/2526</t>
        </is>
      </c>
      <c r="E41" s="4" t="n">
        <v>46093</v>
      </c>
      <c r="F41" s="3" t="n">
        <v>126</v>
      </c>
      <c r="G41" s="3" t="n">
        <v>0</v>
      </c>
      <c r="H41" s="3" t="n">
        <v>-571710</v>
      </c>
      <c r="I41" s="4" t="n">
        <v>25569</v>
      </c>
      <c r="J41" s="3" t="n">
        <v>96</v>
      </c>
    </row>
    <row r="42">
      <c r="A42" s="3" t="inlineStr">
        <is>
          <t>NGS 260041</t>
        </is>
      </c>
      <c r="B42" s="3" t="inlineStr">
        <is>
          <t>Symbiont Life Sciences</t>
        </is>
      </c>
      <c r="C42" s="3" t="inlineStr">
        <is>
          <t>Project Closure</t>
        </is>
      </c>
      <c r="D42" s="3" t="inlineStr">
        <is>
          <t>0</t>
        </is>
      </c>
      <c r="E42" s="3" t="inlineStr"/>
      <c r="F42" s="3" t="n">
        <v>0</v>
      </c>
      <c r="G42" s="3" t="n">
        <v>0</v>
      </c>
      <c r="H42" s="3" t="n">
        <v>-35400</v>
      </c>
      <c r="I42" s="4" t="n">
        <v>25569</v>
      </c>
      <c r="J42" s="3" t="n">
        <v>-30</v>
      </c>
    </row>
    <row r="43">
      <c r="A43" s="3" t="inlineStr">
        <is>
          <t>NGS 260042</t>
        </is>
      </c>
      <c r="B43" s="3" t="inlineStr">
        <is>
          <t>Immugenix Biosciences</t>
        </is>
      </c>
      <c r="C43" s="3" t="inlineStr">
        <is>
          <t>Project Closure</t>
        </is>
      </c>
      <c r="D43" s="3" t="inlineStr">
        <is>
          <t>UPL/GEN/2627/55</t>
        </is>
      </c>
      <c r="E43" s="4" t="n">
        <v>46192</v>
      </c>
      <c r="F43" s="3" t="n">
        <v>27</v>
      </c>
      <c r="G43" s="3" t="n">
        <v>17700</v>
      </c>
      <c r="H43" s="3" t="n">
        <v>0</v>
      </c>
      <c r="I43" s="4" t="n">
        <v>25569</v>
      </c>
      <c r="J43" s="3" t="n">
        <v>-3</v>
      </c>
    </row>
    <row r="44">
      <c r="A44" s="3" t="inlineStr">
        <is>
          <t>NGS 260043</t>
        </is>
      </c>
      <c r="B44" s="3" t="inlineStr">
        <is>
          <t>Genebio</t>
        </is>
      </c>
      <c r="C44" s="3" t="inlineStr">
        <is>
          <t>0</t>
        </is>
      </c>
      <c r="D44" s="3" t="inlineStr">
        <is>
          <t>0</t>
        </is>
      </c>
      <c r="E44" s="3" t="inlineStr"/>
      <c r="F44" s="3" t="n">
        <v>0</v>
      </c>
      <c r="G44" s="3" t="n">
        <v>905060</v>
      </c>
      <c r="H44" s="3" t="n">
        <v>-905060</v>
      </c>
      <c r="I44" s="4" t="n">
        <v>25569</v>
      </c>
      <c r="J44" s="3" t="n">
        <v>-30</v>
      </c>
    </row>
    <row r="45">
      <c r="A45" s="3" t="inlineStr">
        <is>
          <t>NGS 260044</t>
        </is>
      </c>
      <c r="B45" s="3" t="inlineStr">
        <is>
          <t>Nio,Goa</t>
        </is>
      </c>
      <c r="C45" s="3" t="inlineStr">
        <is>
          <t>0</t>
        </is>
      </c>
      <c r="D45" s="3" t="inlineStr">
        <is>
          <t>0</t>
        </is>
      </c>
      <c r="E45" s="3" t="inlineStr"/>
      <c r="F45" s="3" t="n">
        <v>0</v>
      </c>
      <c r="G45" s="3" t="n">
        <v>0</v>
      </c>
      <c r="H45" s="3" t="n">
        <v>-11800</v>
      </c>
      <c r="I45" s="4" t="n">
        <v>25569</v>
      </c>
      <c r="J45" s="3" t="n">
        <v>-30</v>
      </c>
    </row>
    <row r="46">
      <c r="A46" s="3" t="inlineStr">
        <is>
          <t>NGS 260045</t>
        </is>
      </c>
      <c r="B46" s="3" t="inlineStr">
        <is>
          <t>IIT, Kanpur</t>
        </is>
      </c>
      <c r="C46" s="3" t="inlineStr">
        <is>
          <t>Project Closure</t>
        </is>
      </c>
      <c r="D46" s="3" t="inlineStr">
        <is>
          <t>UPL/GEN/2627/01</t>
        </is>
      </c>
      <c r="E46" s="4" t="n">
        <v>46149</v>
      </c>
      <c r="F46" s="3" t="n">
        <v>70</v>
      </c>
      <c r="G46" s="3" t="n">
        <v>0</v>
      </c>
      <c r="H46" s="3" t="n">
        <v>-141600</v>
      </c>
      <c r="I46" s="4" t="n">
        <v>25569</v>
      </c>
      <c r="J46" s="3" t="n">
        <v>40</v>
      </c>
    </row>
    <row r="47">
      <c r="A47" s="3" t="inlineStr">
        <is>
          <t>NGS 260046</t>
        </is>
      </c>
      <c r="B47" s="3" t="inlineStr">
        <is>
          <t>ICAR-Iivr, Varanasi</t>
        </is>
      </c>
      <c r="C47" s="3" t="inlineStr">
        <is>
          <t>Project Closure</t>
        </is>
      </c>
      <c r="D47" s="3" t="inlineStr">
        <is>
          <t>0</t>
        </is>
      </c>
      <c r="E47" s="3" t="inlineStr"/>
      <c r="F47" s="3" t="n">
        <v>46219</v>
      </c>
      <c r="G47" s="3" t="n">
        <v>0</v>
      </c>
      <c r="H47" s="3" t="n">
        <v>-385152</v>
      </c>
      <c r="I47" s="4" t="n">
        <v>25569</v>
      </c>
      <c r="J47" s="3" t="n">
        <v>46189</v>
      </c>
    </row>
    <row r="48">
      <c r="A48" s="3" t="inlineStr">
        <is>
          <t>NGS 260048</t>
        </is>
      </c>
      <c r="B48" s="3" t="inlineStr">
        <is>
          <t>Scientific Affairs, Icga Foundation</t>
        </is>
      </c>
      <c r="C48" s="3" t="inlineStr">
        <is>
          <t>Project Closure</t>
        </is>
      </c>
      <c r="D48" s="3" t="inlineStr">
        <is>
          <t>UPL/GEN/429/2526</t>
        </is>
      </c>
      <c r="E48" s="4" t="n">
        <v>46112</v>
      </c>
      <c r="F48" s="3" t="n">
        <v>107</v>
      </c>
      <c r="G48" s="3" t="n">
        <v>0</v>
      </c>
      <c r="H48" s="3" t="n">
        <v>-2286840</v>
      </c>
      <c r="I48" s="4" t="n">
        <v>25569</v>
      </c>
      <c r="J48" s="3" t="n">
        <v>77</v>
      </c>
    </row>
    <row r="49">
      <c r="A49" s="3" t="inlineStr">
        <is>
          <t>NGS 260049</t>
        </is>
      </c>
      <c r="B49" s="3" t="inlineStr">
        <is>
          <t>Scientific Affairs, Icga Foundation</t>
        </is>
      </c>
      <c r="C49" s="3" t="inlineStr">
        <is>
          <t>Project Closure</t>
        </is>
      </c>
      <c r="D49" s="3" t="inlineStr">
        <is>
          <t>UPL/GEN/427/2526</t>
        </is>
      </c>
      <c r="E49" s="4" t="n">
        <v>46112</v>
      </c>
      <c r="F49" s="3" t="n">
        <v>107</v>
      </c>
      <c r="G49" s="3" t="n">
        <v>0</v>
      </c>
      <c r="H49" s="3" t="n">
        <v>-601800</v>
      </c>
      <c r="I49" s="4" t="n">
        <v>25569</v>
      </c>
      <c r="J49" s="3" t="n">
        <v>77</v>
      </c>
    </row>
    <row r="50">
      <c r="A50" s="3" t="inlineStr">
        <is>
          <t>NGS 260050</t>
        </is>
      </c>
      <c r="B50" s="3" t="inlineStr">
        <is>
          <t>Scientific Affairs, Icga Foundation</t>
        </is>
      </c>
      <c r="C50" s="3" t="inlineStr">
        <is>
          <t>Project Closure</t>
        </is>
      </c>
      <c r="D50" s="3" t="inlineStr">
        <is>
          <t>UPL/GEN/430/2526</t>
        </is>
      </c>
      <c r="E50" s="4" t="n">
        <v>46112</v>
      </c>
      <c r="F50" s="3" t="n">
        <v>107</v>
      </c>
      <c r="G50" s="3" t="n">
        <v>0</v>
      </c>
      <c r="H50" s="3" t="n">
        <v>-361080</v>
      </c>
      <c r="I50" s="4" t="n">
        <v>25569</v>
      </c>
      <c r="J50" s="3" t="n">
        <v>77</v>
      </c>
    </row>
    <row r="51">
      <c r="A51" s="3" t="inlineStr">
        <is>
          <t>NGS 260051</t>
        </is>
      </c>
      <c r="B51" s="3" t="inlineStr">
        <is>
          <t>Scientific Affairs, Icga Foundation</t>
        </is>
      </c>
      <c r="C51" s="3" t="inlineStr">
        <is>
          <t>Project Closure</t>
        </is>
      </c>
      <c r="D51" s="3" t="inlineStr">
        <is>
          <t>UPL/GEN/427/2526</t>
        </is>
      </c>
      <c r="E51" s="4" t="n">
        <v>46112</v>
      </c>
      <c r="F51" s="3" t="n">
        <v>107</v>
      </c>
      <c r="G51" s="3" t="n">
        <v>0</v>
      </c>
      <c r="H51" s="3" t="n">
        <v>-70800</v>
      </c>
      <c r="I51" s="4" t="n">
        <v>25569</v>
      </c>
      <c r="J51" s="3" t="n">
        <v>77</v>
      </c>
    </row>
    <row r="52">
      <c r="A52" s="3" t="inlineStr">
        <is>
          <t>NGS 260051_1</t>
        </is>
      </c>
      <c r="B52" s="3" t="inlineStr">
        <is>
          <t>Scientific Affairs, Icga Foundation</t>
        </is>
      </c>
      <c r="C52" s="3" t="inlineStr">
        <is>
          <t>Project Closure</t>
        </is>
      </c>
      <c r="D52" s="3" t="inlineStr">
        <is>
          <t>UPL/GEN/426/2526</t>
        </is>
      </c>
      <c r="E52" s="4" t="n">
        <v>46112</v>
      </c>
      <c r="F52" s="3" t="n">
        <v>107</v>
      </c>
      <c r="G52" s="3" t="n">
        <v>0</v>
      </c>
      <c r="H52" s="3" t="n">
        <v>-147500</v>
      </c>
      <c r="I52" s="4" t="n">
        <v>25569</v>
      </c>
      <c r="J52" s="3" t="n">
        <v>77</v>
      </c>
    </row>
    <row r="53">
      <c r="A53" s="3" t="inlineStr">
        <is>
          <t>NGS 260052</t>
        </is>
      </c>
      <c r="B53" s="3" t="inlineStr">
        <is>
          <t>Scientific Affairs, Icga Foundation</t>
        </is>
      </c>
      <c r="C53" s="3" t="inlineStr">
        <is>
          <t>Project Closure</t>
        </is>
      </c>
      <c r="D53" s="3" t="inlineStr">
        <is>
          <t>UPL/GEN/426/2526</t>
        </is>
      </c>
      <c r="E53" s="4" t="n">
        <v>46112</v>
      </c>
      <c r="F53" s="3" t="n">
        <v>107</v>
      </c>
      <c r="G53" s="3" t="n">
        <v>0</v>
      </c>
      <c r="H53" s="3" t="n">
        <v>-1504500</v>
      </c>
      <c r="I53" s="4" t="n">
        <v>25569</v>
      </c>
      <c r="J53" s="3" t="n">
        <v>77</v>
      </c>
    </row>
    <row r="54">
      <c r="A54" s="3" t="inlineStr">
        <is>
          <t>NGS 260053</t>
        </is>
      </c>
      <c r="B54" s="3" t="inlineStr">
        <is>
          <t>Novelgene Technology Private Limited</t>
        </is>
      </c>
      <c r="C54" s="3" t="inlineStr">
        <is>
          <t>Project Closure</t>
        </is>
      </c>
      <c r="D54" s="3" t="inlineStr">
        <is>
          <t>UPL/GEN/2627/36</t>
        </is>
      </c>
      <c r="E54" s="4" t="n">
        <v>46171</v>
      </c>
      <c r="F54" s="3" t="n">
        <v>48</v>
      </c>
      <c r="G54" s="3" t="n">
        <v>0</v>
      </c>
      <c r="H54" s="3" t="n">
        <v>-31860</v>
      </c>
      <c r="I54" s="4" t="n">
        <v>25569</v>
      </c>
      <c r="J54" s="3" t="n">
        <v>18</v>
      </c>
    </row>
    <row r="55">
      <c r="A55" s="3" t="inlineStr">
        <is>
          <t>NGS 260054</t>
        </is>
      </c>
      <c r="B55" s="3" t="inlineStr">
        <is>
          <t>Novelgene Technology Private Limited</t>
        </is>
      </c>
      <c r="C55" s="3" t="inlineStr">
        <is>
          <t>Project Closure</t>
        </is>
      </c>
      <c r="D55" s="3" t="inlineStr">
        <is>
          <t>UPL/GEN/396/2526</t>
        </is>
      </c>
      <c r="E55" s="4" t="n">
        <v>46105</v>
      </c>
      <c r="F55" s="3" t="n">
        <v>114</v>
      </c>
      <c r="G55" s="3" t="n">
        <v>0</v>
      </c>
      <c r="H55" s="3" t="n">
        <v>-184080</v>
      </c>
      <c r="I55" s="4" t="n">
        <v>25569</v>
      </c>
      <c r="J55" s="3" t="n">
        <v>84</v>
      </c>
    </row>
    <row r="56">
      <c r="A56" s="3" t="inlineStr">
        <is>
          <t>NGS 260055</t>
        </is>
      </c>
      <c r="B56" s="3" t="inlineStr">
        <is>
          <t>Novelgene Technology Private Limited</t>
        </is>
      </c>
      <c r="C56" s="3" t="inlineStr">
        <is>
          <t>Project Closure</t>
        </is>
      </c>
      <c r="D56" s="3" t="inlineStr">
        <is>
          <t>UPL/GEN/2627/37</t>
        </is>
      </c>
      <c r="E56" s="4" t="n">
        <v>46171</v>
      </c>
      <c r="F56" s="3" t="n">
        <v>48</v>
      </c>
      <c r="G56" s="3" t="n">
        <v>0</v>
      </c>
      <c r="H56" s="3" t="n">
        <v>-84960</v>
      </c>
      <c r="I56" s="4" t="n">
        <v>25569</v>
      </c>
      <c r="J56" s="3" t="n">
        <v>18</v>
      </c>
    </row>
    <row r="57">
      <c r="A57" s="3" t="inlineStr">
        <is>
          <t>NGS 260056</t>
        </is>
      </c>
      <c r="B57" s="3" t="inlineStr">
        <is>
          <t>Symbiont Life Sciences</t>
        </is>
      </c>
      <c r="C57" s="3" t="inlineStr">
        <is>
          <t>Project Closure</t>
        </is>
      </c>
      <c r="D57" s="3" t="inlineStr">
        <is>
          <t>0</t>
        </is>
      </c>
      <c r="E57" s="3" t="inlineStr"/>
      <c r="F57" s="3" t="n">
        <v>0</v>
      </c>
      <c r="G57" s="3" t="n">
        <v>82600</v>
      </c>
      <c r="H57" s="3" t="n">
        <v>0</v>
      </c>
      <c r="I57" s="4" t="n">
        <v>25569</v>
      </c>
      <c r="J57" s="3" t="n">
        <v>-30</v>
      </c>
    </row>
    <row r="58">
      <c r="A58" s="3" t="inlineStr">
        <is>
          <t>NGS 260057</t>
        </is>
      </c>
      <c r="B58" s="3" t="inlineStr">
        <is>
          <t>Symbiont Life Sciences</t>
        </is>
      </c>
      <c r="C58" s="3" t="inlineStr">
        <is>
          <t>0</t>
        </is>
      </c>
      <c r="D58" s="3" t="inlineStr">
        <is>
          <t>0</t>
        </is>
      </c>
      <c r="E58" s="3" t="inlineStr"/>
      <c r="F58" s="3" t="n">
        <v>0</v>
      </c>
      <c r="G58" s="3" t="n">
        <v>0</v>
      </c>
      <c r="H58" s="3" t="n">
        <v>-230100</v>
      </c>
      <c r="I58" s="4" t="n">
        <v>25569</v>
      </c>
      <c r="J58" s="3" t="n">
        <v>-30</v>
      </c>
    </row>
    <row r="59">
      <c r="A59" s="3" t="inlineStr">
        <is>
          <t>NGS 260058</t>
        </is>
      </c>
      <c r="B59" s="3" t="inlineStr">
        <is>
          <t>Symbiont Life Sciences</t>
        </is>
      </c>
      <c r="C59" s="3" t="inlineStr">
        <is>
          <t>0</t>
        </is>
      </c>
      <c r="D59" s="3" t="inlineStr">
        <is>
          <t>0</t>
        </is>
      </c>
      <c r="E59" s="3" t="inlineStr"/>
      <c r="F59" s="3" t="n">
        <v>0</v>
      </c>
      <c r="G59" s="3" t="n">
        <v>0</v>
      </c>
      <c r="H59" s="3" t="n">
        <v>-66080</v>
      </c>
      <c r="I59" s="4" t="n">
        <v>25569</v>
      </c>
      <c r="J59" s="3" t="n">
        <v>-30</v>
      </c>
    </row>
    <row r="60">
      <c r="A60" s="3" t="inlineStr">
        <is>
          <t>NGS 260059</t>
        </is>
      </c>
      <c r="B60" s="3" t="inlineStr">
        <is>
          <t>Symbiont Life Sciences</t>
        </is>
      </c>
      <c r="C60" s="3" t="inlineStr">
        <is>
          <t>0</t>
        </is>
      </c>
      <c r="D60" s="3" t="inlineStr">
        <is>
          <t>0</t>
        </is>
      </c>
      <c r="E60" s="3" t="inlineStr"/>
      <c r="F60" s="3" t="n">
        <v>0</v>
      </c>
      <c r="G60" s="3" t="n">
        <v>0</v>
      </c>
      <c r="H60" s="3" t="n">
        <v>-37170</v>
      </c>
      <c r="I60" s="4" t="n">
        <v>25569</v>
      </c>
      <c r="J60" s="3" t="n">
        <v>-30</v>
      </c>
    </row>
    <row r="61">
      <c r="A61" s="3" t="inlineStr">
        <is>
          <t>NGS 260060</t>
        </is>
      </c>
      <c r="B61" s="3" t="inlineStr">
        <is>
          <t>Gujarat University</t>
        </is>
      </c>
      <c r="C61" s="3" t="inlineStr">
        <is>
          <t>0</t>
        </is>
      </c>
      <c r="D61" s="3" t="inlineStr">
        <is>
          <t>0</t>
        </is>
      </c>
      <c r="E61" s="3" t="inlineStr"/>
      <c r="F61" s="3" t="n">
        <v>0</v>
      </c>
      <c r="G61" s="3" t="n">
        <v>0</v>
      </c>
      <c r="H61" s="3" t="n">
        <v>-31860</v>
      </c>
      <c r="I61" s="4" t="n">
        <v>25569</v>
      </c>
      <c r="J61" s="3" t="n">
        <v>-30</v>
      </c>
    </row>
    <row r="62">
      <c r="A62" s="3" t="inlineStr">
        <is>
          <t>NGS 260061</t>
        </is>
      </c>
      <c r="B62" s="3" t="inlineStr">
        <is>
          <t>Symbiont Life Sciences</t>
        </is>
      </c>
      <c r="C62" s="3" t="inlineStr">
        <is>
          <t>QC Fail</t>
        </is>
      </c>
      <c r="D62" s="3" t="inlineStr">
        <is>
          <t>0</t>
        </is>
      </c>
      <c r="E62" s="3" t="inlineStr"/>
      <c r="F62" s="3" t="n">
        <v>0</v>
      </c>
      <c r="G62" s="3" t="n">
        <v>0</v>
      </c>
      <c r="H62" s="3" t="n">
        <v>0</v>
      </c>
      <c r="I62" s="4" t="n">
        <v>25569</v>
      </c>
      <c r="J62" s="3" t="n">
        <v>-30</v>
      </c>
    </row>
    <row r="63">
      <c r="A63" s="3" t="inlineStr">
        <is>
          <t>NGS 260062</t>
        </is>
      </c>
      <c r="B63" s="3" t="inlineStr">
        <is>
          <t>Future Biotech</t>
        </is>
      </c>
      <c r="C63" s="3" t="inlineStr">
        <is>
          <t>Project Closure</t>
        </is>
      </c>
      <c r="D63" s="3" t="inlineStr">
        <is>
          <t>UPL/GEN/410/2526</t>
        </is>
      </c>
      <c r="E63" s="4" t="n">
        <v>46109</v>
      </c>
      <c r="F63" s="3" t="n">
        <v>110</v>
      </c>
      <c r="G63" s="3" t="n">
        <v>76700</v>
      </c>
      <c r="H63" s="3" t="n">
        <v>0</v>
      </c>
      <c r="I63" s="4" t="n">
        <v>25569</v>
      </c>
      <c r="J63" s="3" t="n">
        <v>80</v>
      </c>
    </row>
    <row r="64">
      <c r="A64" s="3" t="inlineStr">
        <is>
          <t>NGS 260063</t>
        </is>
      </c>
      <c r="B64" s="3" t="inlineStr">
        <is>
          <t>Tmc-Actrec</t>
        </is>
      </c>
      <c r="C64" s="3" t="inlineStr">
        <is>
          <t>0</t>
        </is>
      </c>
      <c r="D64" s="3" t="inlineStr">
        <is>
          <t>0</t>
        </is>
      </c>
      <c r="E64" s="3" t="inlineStr"/>
      <c r="F64" s="3" t="n">
        <v>0</v>
      </c>
      <c r="G64" s="3" t="n">
        <v>0</v>
      </c>
      <c r="H64" s="3" t="n">
        <v>-140007</v>
      </c>
      <c r="I64" s="4" t="n">
        <v>25569</v>
      </c>
      <c r="J64" s="3" t="n">
        <v>-30</v>
      </c>
    </row>
    <row r="65">
      <c r="A65" s="3" t="inlineStr">
        <is>
          <t>NGS 260064</t>
        </is>
      </c>
      <c r="B65" s="3" t="inlineStr">
        <is>
          <t>Symbiont Life Sciences</t>
        </is>
      </c>
      <c r="C65" s="3" t="inlineStr">
        <is>
          <t>QC Fail</t>
        </is>
      </c>
      <c r="D65" s="3" t="inlineStr">
        <is>
          <t>0</t>
        </is>
      </c>
      <c r="E65" s="3" t="inlineStr"/>
      <c r="F65" s="3" t="n">
        <v>0</v>
      </c>
      <c r="G65" s="3" t="n">
        <v>0</v>
      </c>
      <c r="H65" s="3" t="n">
        <v>0</v>
      </c>
      <c r="I65" s="4" t="n">
        <v>25569</v>
      </c>
      <c r="J65" s="3" t="n">
        <v>-30</v>
      </c>
    </row>
    <row r="66">
      <c r="A66" s="3" t="inlineStr">
        <is>
          <t>NGS 260065</t>
        </is>
      </c>
      <c r="B66" s="3" t="inlineStr">
        <is>
          <t>Symbiont Life Sciences</t>
        </is>
      </c>
      <c r="C66" s="3" t="inlineStr">
        <is>
          <t>QC Fail</t>
        </is>
      </c>
      <c r="D66" s="3" t="inlineStr">
        <is>
          <t>0</t>
        </is>
      </c>
      <c r="E66" s="3" t="inlineStr"/>
      <c r="F66" s="3" t="n">
        <v>0</v>
      </c>
      <c r="G66" s="3" t="n">
        <v>0</v>
      </c>
      <c r="H66" s="3" t="n">
        <v>0</v>
      </c>
      <c r="I66" s="4" t="n">
        <v>25569</v>
      </c>
      <c r="J66" s="3" t="n">
        <v>-30</v>
      </c>
    </row>
    <row r="67">
      <c r="A67" s="3" t="inlineStr">
        <is>
          <t>NGS 260066</t>
        </is>
      </c>
      <c r="B67" s="3" t="inlineStr">
        <is>
          <t>Symbiont Life Sciences</t>
        </is>
      </c>
      <c r="C67" s="3" t="inlineStr">
        <is>
          <t>QC Fail</t>
        </is>
      </c>
      <c r="D67" s="3" t="inlineStr">
        <is>
          <t>0</t>
        </is>
      </c>
      <c r="E67" s="3" t="inlineStr"/>
      <c r="F67" s="3" t="n">
        <v>0</v>
      </c>
      <c r="G67" s="3" t="n">
        <v>0</v>
      </c>
      <c r="H67" s="3" t="n">
        <v>0</v>
      </c>
      <c r="I67" s="4" t="n">
        <v>25569</v>
      </c>
      <c r="J67" s="3" t="n">
        <v>-30</v>
      </c>
    </row>
    <row r="68">
      <c r="A68" s="3" t="inlineStr">
        <is>
          <t>NGS 260067</t>
        </is>
      </c>
      <c r="B68" s="3" t="inlineStr">
        <is>
          <t>Gene Bio Solution</t>
        </is>
      </c>
      <c r="C68" s="3" t="inlineStr">
        <is>
          <t>Project Closure</t>
        </is>
      </c>
      <c r="D68" s="3" t="inlineStr">
        <is>
          <t>0</t>
        </is>
      </c>
      <c r="E68" s="3" t="inlineStr"/>
      <c r="F68" s="3" t="n">
        <v>46219</v>
      </c>
      <c r="G68" s="3" t="n">
        <v>0</v>
      </c>
      <c r="H68" s="3" t="n">
        <v>-18880</v>
      </c>
      <c r="I68" s="4" t="n">
        <v>25569</v>
      </c>
      <c r="J68" s="3" t="n">
        <v>46189</v>
      </c>
    </row>
    <row r="69">
      <c r="A69" s="3" t="inlineStr">
        <is>
          <t>NGS 260068</t>
        </is>
      </c>
      <c r="B69" s="3" t="inlineStr">
        <is>
          <t>Gene Bio Solution</t>
        </is>
      </c>
      <c r="C69" s="3" t="inlineStr">
        <is>
          <t>0</t>
        </is>
      </c>
      <c r="D69" s="3" t="inlineStr">
        <is>
          <t>0</t>
        </is>
      </c>
      <c r="E69" s="3" t="inlineStr"/>
      <c r="F69" s="3" t="n">
        <v>0</v>
      </c>
      <c r="G69" s="3" t="n">
        <v>0</v>
      </c>
      <c r="H69" s="3" t="n">
        <v>-132160</v>
      </c>
      <c r="I69" s="4" t="n">
        <v>25569</v>
      </c>
      <c r="J69" s="3" t="n">
        <v>-30</v>
      </c>
    </row>
    <row r="70">
      <c r="A70" s="3" t="inlineStr">
        <is>
          <t>NGS 260069</t>
        </is>
      </c>
      <c r="B70" s="3" t="inlineStr">
        <is>
          <t>Labdose</t>
        </is>
      </c>
      <c r="C70" s="3" t="inlineStr">
        <is>
          <t>Project Closure</t>
        </is>
      </c>
      <c r="D70" s="3" t="inlineStr">
        <is>
          <t>UPL/GEN/2627/52</t>
        </is>
      </c>
      <c r="E70" s="4" t="n">
        <v>46185</v>
      </c>
      <c r="F70" s="3" t="n">
        <v>34</v>
      </c>
      <c r="G70" s="3" t="n">
        <v>223020</v>
      </c>
      <c r="H70" s="3" t="n">
        <v>0</v>
      </c>
      <c r="I70" s="4" t="n">
        <v>25569</v>
      </c>
      <c r="J70" s="3" t="n">
        <v>4</v>
      </c>
    </row>
    <row r="71">
      <c r="A71" s="3" t="inlineStr">
        <is>
          <t>NGS 260070</t>
        </is>
      </c>
      <c r="B71" s="3" t="inlineStr">
        <is>
          <t>Labdose</t>
        </is>
      </c>
      <c r="C71" s="3" t="inlineStr">
        <is>
          <t>Project Closure</t>
        </is>
      </c>
      <c r="D71" s="3" t="inlineStr">
        <is>
          <t>UPL/GEN/2627/52</t>
        </is>
      </c>
      <c r="E71" s="4" t="n">
        <v>46185</v>
      </c>
      <c r="F71" s="3" t="n">
        <v>34</v>
      </c>
      <c r="G71" s="3" t="n">
        <v>22302</v>
      </c>
      <c r="H71" s="3" t="n">
        <v>0</v>
      </c>
      <c r="I71" s="4" t="n">
        <v>25569</v>
      </c>
      <c r="J71" s="3" t="n">
        <v>4</v>
      </c>
    </row>
    <row r="72">
      <c r="A72" s="3" t="inlineStr">
        <is>
          <t>Re-NGS 260071</t>
        </is>
      </c>
      <c r="B72" s="3" t="inlineStr">
        <is>
          <t>Symbiont Life Sciences</t>
        </is>
      </c>
      <c r="C72" s="3" t="inlineStr">
        <is>
          <t>QC Fail</t>
        </is>
      </c>
      <c r="D72" s="3" t="inlineStr">
        <is>
          <t>0</t>
        </is>
      </c>
      <c r="E72" s="3" t="inlineStr"/>
      <c r="F72" s="3" t="n">
        <v>0</v>
      </c>
      <c r="G72" s="3" t="n">
        <v>0</v>
      </c>
      <c r="H72" s="3" t="n">
        <v>0</v>
      </c>
      <c r="I72" s="4" t="n">
        <v>25569</v>
      </c>
      <c r="J72" s="3" t="n">
        <v>-30</v>
      </c>
    </row>
    <row r="73">
      <c r="A73" s="3" t="inlineStr">
        <is>
          <t>Re-NGS 260072</t>
        </is>
      </c>
      <c r="B73" s="3" t="inlineStr">
        <is>
          <t>Aiims - Delhi</t>
        </is>
      </c>
      <c r="C73" s="3" t="inlineStr">
        <is>
          <t>Project Closure</t>
        </is>
      </c>
      <c r="D73" s="3" t="inlineStr">
        <is>
          <t>0</t>
        </is>
      </c>
      <c r="E73" s="3" t="inlineStr"/>
      <c r="F73" s="3" t="n">
        <v>0</v>
      </c>
      <c r="G73" s="3" t="n">
        <v>0</v>
      </c>
      <c r="H73" s="3" t="n">
        <v>-223728</v>
      </c>
      <c r="I73" s="4" t="n">
        <v>25569</v>
      </c>
      <c r="J73" s="3" t="n">
        <v>-30</v>
      </c>
    </row>
    <row r="74">
      <c r="A74" s="3" t="inlineStr">
        <is>
          <t>NGS 260073</t>
        </is>
      </c>
      <c r="B74" s="3" t="inlineStr">
        <is>
          <t>Parul University</t>
        </is>
      </c>
      <c r="C74" s="3" t="inlineStr">
        <is>
          <t>Project Closure</t>
        </is>
      </c>
      <c r="D74" s="3" t="inlineStr">
        <is>
          <t>UPL/GEN/2627/26</t>
        </is>
      </c>
      <c r="E74" s="4" t="n">
        <v>46149</v>
      </c>
      <c r="F74" s="3" t="n">
        <v>70</v>
      </c>
      <c r="G74" s="3" t="n">
        <v>99120</v>
      </c>
      <c r="H74" s="3" t="n">
        <v>0</v>
      </c>
      <c r="I74" s="4" t="n">
        <v>25569</v>
      </c>
      <c r="J74" s="3" t="n">
        <v>40</v>
      </c>
    </row>
    <row r="75">
      <c r="A75" s="3" t="inlineStr">
        <is>
          <t>NGS 260074</t>
        </is>
      </c>
      <c r="B75" s="3" t="inlineStr">
        <is>
          <t>Rgcirc, Delhi</t>
        </is>
      </c>
      <c r="C75" s="3" t="inlineStr">
        <is>
          <t>Project Closure</t>
        </is>
      </c>
      <c r="D75" s="3" t="inlineStr">
        <is>
          <t>UPL/GEN/341/2526</t>
        </is>
      </c>
      <c r="E75" s="3" t="inlineStr"/>
      <c r="F75" s="3" t="n">
        <v>46219</v>
      </c>
      <c r="G75" s="3" t="n">
        <v>718620</v>
      </c>
      <c r="H75" s="3" t="n">
        <v>0</v>
      </c>
      <c r="I75" s="4" t="n">
        <v>25569</v>
      </c>
      <c r="J75" s="3" t="n">
        <v>46189</v>
      </c>
    </row>
    <row r="76">
      <c r="A76" s="3" t="inlineStr">
        <is>
          <t>NGS 260075</t>
        </is>
      </c>
      <c r="B76" s="3" t="inlineStr">
        <is>
          <t>Novelgene Technology Private Limited</t>
        </is>
      </c>
      <c r="C76" s="3" t="inlineStr">
        <is>
          <t>Project Closure</t>
        </is>
      </c>
      <c r="D76" s="3" t="inlineStr">
        <is>
          <t>0</t>
        </is>
      </c>
      <c r="E76" s="3" t="inlineStr"/>
      <c r="F76" s="3" t="n">
        <v>46219</v>
      </c>
      <c r="G76" s="3" t="n">
        <v>0</v>
      </c>
      <c r="H76" s="3" t="n">
        <v>-84960</v>
      </c>
      <c r="I76" s="4" t="n">
        <v>25569</v>
      </c>
      <c r="J76" s="3" t="n">
        <v>46189</v>
      </c>
    </row>
    <row r="77">
      <c r="A77" s="3" t="inlineStr">
        <is>
          <t>NGS 260077</t>
        </is>
      </c>
      <c r="B77" s="3" t="inlineStr">
        <is>
          <t>Cadila Pharmaceuticals Pvt.Ltd</t>
        </is>
      </c>
      <c r="C77" s="3" t="inlineStr">
        <is>
          <t>Project Closure</t>
        </is>
      </c>
      <c r="D77" s="3" t="inlineStr">
        <is>
          <t>0</t>
        </is>
      </c>
      <c r="E77" s="3" t="inlineStr"/>
      <c r="F77" s="3" t="n">
        <v>46219</v>
      </c>
      <c r="G77" s="3" t="n">
        <v>295000</v>
      </c>
      <c r="H77" s="3" t="n">
        <v>0</v>
      </c>
      <c r="I77" s="4" t="n">
        <v>25569</v>
      </c>
      <c r="J77" s="3" t="n">
        <v>46189</v>
      </c>
    </row>
    <row r="78">
      <c r="A78" s="3" t="inlineStr">
        <is>
          <t>NGS 260078</t>
        </is>
      </c>
      <c r="B78" s="3" t="inlineStr">
        <is>
          <t>Geno Connect Services Private Limited</t>
        </is>
      </c>
      <c r="C78" s="3" t="inlineStr">
        <is>
          <t>Project Closure</t>
        </is>
      </c>
      <c r="D78" s="3" t="inlineStr">
        <is>
          <t>UPL/GEN/2627/38</t>
        </is>
      </c>
      <c r="E78" s="4" t="n">
        <v>46168</v>
      </c>
      <c r="F78" s="3" t="n">
        <v>51</v>
      </c>
      <c r="G78" s="3" t="n">
        <v>10620</v>
      </c>
      <c r="H78" s="3" t="n">
        <v>0</v>
      </c>
      <c r="I78" s="4" t="n">
        <v>25569</v>
      </c>
      <c r="J78" s="3" t="n">
        <v>21</v>
      </c>
    </row>
    <row r="79">
      <c r="A79" s="3" t="inlineStr">
        <is>
          <t>NGS 260079</t>
        </is>
      </c>
      <c r="B79" s="3" t="inlineStr">
        <is>
          <t>Symbiont Life Sciences</t>
        </is>
      </c>
      <c r="C79" s="3" t="inlineStr">
        <is>
          <t>0</t>
        </is>
      </c>
      <c r="D79" s="3" t="inlineStr">
        <is>
          <t>0</t>
        </is>
      </c>
      <c r="E79" s="3" t="inlineStr"/>
      <c r="F79" s="3" t="n">
        <v>0</v>
      </c>
      <c r="G79" s="3" t="n">
        <v>0</v>
      </c>
      <c r="H79" s="3" t="n">
        <v>-7080</v>
      </c>
      <c r="I79" s="4" t="n">
        <v>25569</v>
      </c>
      <c r="J79" s="3" t="n">
        <v>-30</v>
      </c>
    </row>
    <row r="80">
      <c r="A80" s="3" t="inlineStr">
        <is>
          <t>NGS 260080</t>
        </is>
      </c>
      <c r="B80" s="3" t="inlineStr">
        <is>
          <t>Government Women'S College</t>
        </is>
      </c>
      <c r="C80" s="3" t="inlineStr">
        <is>
          <t>Project Closure</t>
        </is>
      </c>
      <c r="D80" s="3" t="inlineStr">
        <is>
          <t>0</t>
        </is>
      </c>
      <c r="E80" s="3" t="inlineStr"/>
      <c r="F80" s="3" t="n">
        <v>0</v>
      </c>
      <c r="G80" s="3" t="n">
        <v>35400</v>
      </c>
      <c r="H80" s="3" t="n">
        <v>0</v>
      </c>
      <c r="I80" s="4" t="n">
        <v>25569</v>
      </c>
      <c r="J80" s="3" t="n">
        <v>-30</v>
      </c>
    </row>
    <row r="81">
      <c r="A81" s="3" t="inlineStr">
        <is>
          <t>NGS 260081</t>
        </is>
      </c>
      <c r="B81" s="3" t="inlineStr">
        <is>
          <t>University Of Kerala</t>
        </is>
      </c>
      <c r="C81" s="3" t="inlineStr">
        <is>
          <t>0</t>
        </is>
      </c>
      <c r="D81" s="3" t="inlineStr">
        <is>
          <t>0</t>
        </is>
      </c>
      <c r="E81" s="3" t="inlineStr"/>
      <c r="F81" s="3" t="n">
        <v>0</v>
      </c>
      <c r="G81" s="3" t="n">
        <v>0</v>
      </c>
      <c r="H81" s="3" t="n">
        <v>-159937.2</v>
      </c>
      <c r="I81" s="4" t="n">
        <v>25569</v>
      </c>
      <c r="J81" s="3" t="n">
        <v>-30</v>
      </c>
    </row>
    <row r="82">
      <c r="A82" s="3" t="inlineStr">
        <is>
          <t>NGS 260082</t>
        </is>
      </c>
      <c r="B82" s="3" t="inlineStr">
        <is>
          <t>Symbiont Life Sciences</t>
        </is>
      </c>
      <c r="C82" s="3" t="inlineStr">
        <is>
          <t>0</t>
        </is>
      </c>
      <c r="D82" s="3" t="inlineStr">
        <is>
          <t>0</t>
        </is>
      </c>
      <c r="E82" s="3" t="inlineStr"/>
      <c r="F82" s="3" t="n">
        <v>0</v>
      </c>
      <c r="G82" s="3" t="n">
        <v>0</v>
      </c>
      <c r="H82" s="3" t="n">
        <v>-153400</v>
      </c>
      <c r="I82" s="4" t="n">
        <v>25569</v>
      </c>
      <c r="J82" s="3" t="n">
        <v>-30</v>
      </c>
    </row>
    <row r="83">
      <c r="A83" s="3" t="inlineStr">
        <is>
          <t>NGS 260083</t>
        </is>
      </c>
      <c r="B83" s="3" t="inlineStr">
        <is>
          <t>Symbiont Life Sciences</t>
        </is>
      </c>
      <c r="C83" s="3" t="inlineStr">
        <is>
          <t>0</t>
        </is>
      </c>
      <c r="D83" s="3" t="inlineStr">
        <is>
          <t>0</t>
        </is>
      </c>
      <c r="E83" s="3" t="inlineStr"/>
      <c r="F83" s="3" t="n">
        <v>0</v>
      </c>
      <c r="G83" s="3" t="n">
        <v>0</v>
      </c>
      <c r="H83" s="3" t="n">
        <v>-7080</v>
      </c>
      <c r="I83" s="4" t="n">
        <v>25569</v>
      </c>
      <c r="J83" s="3" t="n">
        <v>-30</v>
      </c>
    </row>
    <row r="84">
      <c r="A84" s="3" t="inlineStr">
        <is>
          <t>NGS 260084</t>
        </is>
      </c>
      <c r="B84" s="3" t="inlineStr">
        <is>
          <t>Sctimst</t>
        </is>
      </c>
      <c r="C84" s="3" t="inlineStr">
        <is>
          <t>Project Closure</t>
        </is>
      </c>
      <c r="D84" s="3" t="inlineStr">
        <is>
          <t>0</t>
        </is>
      </c>
      <c r="E84" s="3" t="inlineStr"/>
      <c r="F84" s="3" t="n">
        <v>46219</v>
      </c>
      <c r="G84" s="3" t="n">
        <v>0</v>
      </c>
      <c r="H84" s="3" t="n">
        <v>-83072</v>
      </c>
      <c r="I84" s="4" t="n">
        <v>25569</v>
      </c>
      <c r="J84" s="3" t="n">
        <v>46189</v>
      </c>
    </row>
    <row r="85">
      <c r="A85" s="3" t="inlineStr">
        <is>
          <t>NGS 260085</t>
        </is>
      </c>
      <c r="B85" s="3" t="inlineStr">
        <is>
          <t>Kerala University</t>
        </is>
      </c>
      <c r="C85" s="3" t="inlineStr">
        <is>
          <t>0</t>
        </is>
      </c>
      <c r="D85" s="3" t="inlineStr">
        <is>
          <t>337 &amp; 338</t>
        </is>
      </c>
      <c r="E85" s="3" t="inlineStr"/>
      <c r="F85" s="3" t="n">
        <v>0</v>
      </c>
      <c r="G85" s="3" t="n">
        <v>0</v>
      </c>
      <c r="H85" s="3" t="n">
        <v>-22302</v>
      </c>
      <c r="I85" s="4" t="n">
        <v>25569</v>
      </c>
      <c r="J85" s="3" t="n">
        <v>-30</v>
      </c>
    </row>
    <row r="86">
      <c r="A86" s="3" t="inlineStr">
        <is>
          <t>NGS 260086</t>
        </is>
      </c>
      <c r="B86" s="3" t="inlineStr">
        <is>
          <t>University Of Calicut</t>
        </is>
      </c>
      <c r="C86" s="3" t="inlineStr">
        <is>
          <t>0</t>
        </is>
      </c>
      <c r="D86" s="3" t="inlineStr">
        <is>
          <t>0</t>
        </is>
      </c>
      <c r="E86" s="3" t="inlineStr"/>
      <c r="F86" s="3" t="n">
        <v>0</v>
      </c>
      <c r="G86" s="3" t="n">
        <v>0</v>
      </c>
      <c r="H86" s="3" t="n">
        <v>-70800</v>
      </c>
      <c r="I86" s="4" t="n">
        <v>25569</v>
      </c>
      <c r="J86" s="3" t="n">
        <v>-30</v>
      </c>
    </row>
    <row r="87">
      <c r="A87" s="3" t="inlineStr">
        <is>
          <t>NGS 260087</t>
        </is>
      </c>
      <c r="B87" s="3" t="inlineStr">
        <is>
          <t>Symbiont Life Sciences</t>
        </is>
      </c>
      <c r="C87" s="3" t="inlineStr">
        <is>
          <t>QC Fail</t>
        </is>
      </c>
      <c r="D87" s="3" t="inlineStr">
        <is>
          <t>0</t>
        </is>
      </c>
      <c r="E87" s="3" t="inlineStr"/>
      <c r="F87" s="3" t="n">
        <v>0</v>
      </c>
      <c r="G87" s="3" t="n">
        <v>0</v>
      </c>
      <c r="H87" s="3" t="n">
        <v>0</v>
      </c>
      <c r="I87" s="4" t="n">
        <v>25569</v>
      </c>
      <c r="J87" s="3" t="n">
        <v>-30</v>
      </c>
    </row>
    <row r="88">
      <c r="A88" s="3" t="inlineStr">
        <is>
          <t>NGS 260088</t>
        </is>
      </c>
      <c r="B88" s="3" t="inlineStr">
        <is>
          <t>Suzuki R&amp;D Center</t>
        </is>
      </c>
      <c r="C88" s="3" t="inlineStr">
        <is>
          <t>0</t>
        </is>
      </c>
      <c r="D88" s="3" t="inlineStr">
        <is>
          <t>0</t>
        </is>
      </c>
      <c r="E88" s="3" t="inlineStr"/>
      <c r="F88" s="3" t="n">
        <v>0</v>
      </c>
      <c r="G88" s="3" t="n">
        <v>0</v>
      </c>
      <c r="H88" s="3" t="n">
        <v>-47200</v>
      </c>
      <c r="I88" s="4" t="n">
        <v>25569</v>
      </c>
      <c r="J88" s="3" t="n">
        <v>-30</v>
      </c>
    </row>
    <row r="89">
      <c r="A89" s="3" t="inlineStr">
        <is>
          <t>NGS 260089</t>
        </is>
      </c>
      <c r="B89" s="3" t="inlineStr">
        <is>
          <t>Geno Connect Services Private Limited</t>
        </is>
      </c>
      <c r="C89" s="3" t="inlineStr">
        <is>
          <t>Project Closure</t>
        </is>
      </c>
      <c r="D89" s="3" t="inlineStr">
        <is>
          <t>UPL/GEN/2627/40</t>
        </is>
      </c>
      <c r="E89" s="4" t="n">
        <v>46171</v>
      </c>
      <c r="F89" s="3" t="n">
        <v>48</v>
      </c>
      <c r="G89" s="3" t="n">
        <v>7080</v>
      </c>
      <c r="H89" s="3" t="n">
        <v>0</v>
      </c>
      <c r="I89" s="4" t="n">
        <v>25569</v>
      </c>
      <c r="J89" s="3" t="n">
        <v>18</v>
      </c>
    </row>
    <row r="90">
      <c r="A90" s="3" t="inlineStr">
        <is>
          <t>NGS 260090</t>
        </is>
      </c>
      <c r="B90" s="3" t="inlineStr">
        <is>
          <t>Immugenix Biosciences</t>
        </is>
      </c>
      <c r="C90" s="3" t="inlineStr">
        <is>
          <t>0</t>
        </is>
      </c>
      <c r="D90" s="3" t="inlineStr">
        <is>
          <t>0</t>
        </is>
      </c>
      <c r="E90" s="3" t="inlineStr"/>
      <c r="F90" s="3" t="n">
        <v>0</v>
      </c>
      <c r="G90" s="3" t="n">
        <v>0</v>
      </c>
      <c r="H90" s="3" t="n">
        <v>-17700</v>
      </c>
      <c r="I90" s="4" t="n">
        <v>25569</v>
      </c>
      <c r="J90" s="3" t="n">
        <v>-30</v>
      </c>
    </row>
    <row r="91">
      <c r="A91" s="3" t="inlineStr">
        <is>
          <t>NGS 260091</t>
        </is>
      </c>
      <c r="B91" s="3" t="inlineStr">
        <is>
          <t>Immugenix Biosciences</t>
        </is>
      </c>
      <c r="C91" s="3" t="inlineStr">
        <is>
          <t>Project Closure</t>
        </is>
      </c>
      <c r="D91" s="3" t="inlineStr">
        <is>
          <t>0</t>
        </is>
      </c>
      <c r="E91" s="3" t="inlineStr"/>
      <c r="F91" s="3" t="n">
        <v>46219</v>
      </c>
      <c r="G91" s="3" t="n">
        <v>0</v>
      </c>
      <c r="H91" s="3" t="n">
        <v>-42480</v>
      </c>
      <c r="I91" s="4" t="n">
        <v>25569</v>
      </c>
      <c r="J91" s="3" t="n">
        <v>46189</v>
      </c>
    </row>
    <row r="92">
      <c r="A92" s="3" t="inlineStr">
        <is>
          <t>NGS 260092</t>
        </is>
      </c>
      <c r="B92" s="3" t="inlineStr">
        <is>
          <t>Econext Unit Of Saibiosystems Pvt Ltd</t>
        </is>
      </c>
      <c r="C92" s="3" t="inlineStr">
        <is>
          <t>Project Closure</t>
        </is>
      </c>
      <c r="D92" s="3" t="inlineStr">
        <is>
          <t>UPL/GEN/2627/46</t>
        </is>
      </c>
      <c r="E92" s="4" t="n">
        <v>46178</v>
      </c>
      <c r="F92" s="3" t="n">
        <v>41</v>
      </c>
      <c r="G92" s="3" t="n">
        <v>25960</v>
      </c>
      <c r="H92" s="3" t="n">
        <v>0</v>
      </c>
      <c r="I92" s="4" t="n">
        <v>25569</v>
      </c>
      <c r="J92" s="3" t="n">
        <v>11</v>
      </c>
    </row>
    <row r="93">
      <c r="A93" s="3" t="inlineStr">
        <is>
          <t>NGS 260093</t>
        </is>
      </c>
      <c r="B93" s="3" t="inlineStr">
        <is>
          <t>IIT-D</t>
        </is>
      </c>
      <c r="C93" s="3" t="inlineStr">
        <is>
          <t>Project Closure</t>
        </is>
      </c>
      <c r="D93" s="3" t="inlineStr">
        <is>
          <t>UPL/GEN/2627/05</t>
        </is>
      </c>
      <c r="E93" s="4" t="n">
        <v>46119</v>
      </c>
      <c r="F93" s="3" t="n">
        <v>100</v>
      </c>
      <c r="G93" s="3" t="n">
        <v>75520</v>
      </c>
      <c r="H93" s="3" t="n">
        <v>0</v>
      </c>
      <c r="I93" s="4" t="n">
        <v>25569</v>
      </c>
      <c r="J93" s="3" t="n">
        <v>70</v>
      </c>
    </row>
    <row r="94">
      <c r="A94" s="3" t="inlineStr">
        <is>
          <t>NGS 260094</t>
        </is>
      </c>
      <c r="B94" s="3" t="inlineStr">
        <is>
          <t>IIT-D</t>
        </is>
      </c>
      <c r="C94" s="3" t="inlineStr">
        <is>
          <t>Project Closure</t>
        </is>
      </c>
      <c r="D94" s="3" t="inlineStr">
        <is>
          <t>UPL/GEN/2627/06</t>
        </is>
      </c>
      <c r="E94" s="3" t="inlineStr"/>
      <c r="F94" s="3" t="n">
        <v>46219</v>
      </c>
      <c r="G94" s="3" t="n">
        <v>88217</v>
      </c>
      <c r="H94" s="3" t="n">
        <v>0.1999999999970896</v>
      </c>
      <c r="I94" s="4" t="n">
        <v>25569</v>
      </c>
      <c r="J94" s="3" t="n">
        <v>46189</v>
      </c>
    </row>
    <row r="95">
      <c r="A95" s="3" t="inlineStr">
        <is>
          <t>NGS 260095</t>
        </is>
      </c>
      <c r="B95" s="3" t="inlineStr">
        <is>
          <t>IIT-D</t>
        </is>
      </c>
      <c r="C95" s="3" t="inlineStr">
        <is>
          <t>QC Fail</t>
        </is>
      </c>
      <c r="D95" s="3" t="inlineStr">
        <is>
          <t>0</t>
        </is>
      </c>
      <c r="E95" s="3" t="inlineStr"/>
      <c r="F95" s="3" t="n">
        <v>0</v>
      </c>
      <c r="G95" s="3" t="n">
        <v>0</v>
      </c>
      <c r="H95" s="3" t="n">
        <v>0</v>
      </c>
      <c r="I95" s="4" t="n">
        <v>25569</v>
      </c>
      <c r="J95" s="3" t="n">
        <v>-30</v>
      </c>
    </row>
    <row r="96">
      <c r="A96" s="3" t="inlineStr">
        <is>
          <t>NGS 260096</t>
        </is>
      </c>
      <c r="B96" s="3" t="inlineStr">
        <is>
          <t>ICAR-Iisr Kozhikode</t>
        </is>
      </c>
      <c r="C96" s="3" t="inlineStr">
        <is>
          <t>Project Closure</t>
        </is>
      </c>
      <c r="D96" s="3" t="inlineStr">
        <is>
          <t>UPL/GEN/383/2526</t>
        </is>
      </c>
      <c r="E96" s="3" t="inlineStr"/>
      <c r="F96" s="3" t="n">
        <v>46219</v>
      </c>
      <c r="G96" s="3" t="n">
        <v>795969</v>
      </c>
      <c r="H96" s="3" t="n">
        <v>-972851</v>
      </c>
      <c r="I96" s="4" t="n">
        <v>25569</v>
      </c>
      <c r="J96" s="3" t="n">
        <v>46189</v>
      </c>
    </row>
    <row r="97">
      <c r="A97" s="3" t="inlineStr">
        <is>
          <t>NGS 260097</t>
        </is>
      </c>
      <c r="B97" s="3" t="inlineStr">
        <is>
          <t>Anthropological Survey Of India</t>
        </is>
      </c>
      <c r="C97" s="3" t="inlineStr">
        <is>
          <t>Project Closure</t>
        </is>
      </c>
      <c r="D97" s="3" t="inlineStr">
        <is>
          <t>UPL/GEN/405/2526</t>
        </is>
      </c>
      <c r="E97" s="4" t="n">
        <v>46108</v>
      </c>
      <c r="F97" s="3" t="n">
        <v>111</v>
      </c>
      <c r="G97" s="3" t="n">
        <v>321190</v>
      </c>
      <c r="H97" s="3" t="n">
        <v>-0.09999999997671689</v>
      </c>
      <c r="I97" s="4" t="n">
        <v>25569</v>
      </c>
      <c r="J97" s="3" t="n">
        <v>81</v>
      </c>
    </row>
    <row r="98">
      <c r="A98" s="3" t="inlineStr">
        <is>
          <t>NGS 260098</t>
        </is>
      </c>
      <c r="B98" s="3" t="inlineStr">
        <is>
          <t>Suzuki R&amp;D Center</t>
        </is>
      </c>
      <c r="C98" s="3" t="inlineStr">
        <is>
          <t>QC Fail</t>
        </is>
      </c>
      <c r="D98" s="3" t="inlineStr">
        <is>
          <t>0</t>
        </is>
      </c>
      <c r="E98" s="3" t="inlineStr"/>
      <c r="F98" s="3" t="n">
        <v>0</v>
      </c>
      <c r="G98" s="3" t="n">
        <v>0</v>
      </c>
      <c r="H98" s="3" t="n">
        <v>0</v>
      </c>
      <c r="I98" s="4" t="n">
        <v>25569</v>
      </c>
      <c r="J98" s="3" t="n">
        <v>-30</v>
      </c>
    </row>
    <row r="99">
      <c r="A99" s="3" t="inlineStr">
        <is>
          <t>NGS 260099</t>
        </is>
      </c>
      <c r="B99" s="3" t="inlineStr">
        <is>
          <t>ICAR-Iivr, Varanasi</t>
        </is>
      </c>
      <c r="C99" s="3" t="inlineStr">
        <is>
          <t>0</t>
        </is>
      </c>
      <c r="D99" s="3" t="inlineStr">
        <is>
          <t>UPL/GEN/371/2526</t>
        </is>
      </c>
      <c r="E99" s="3" t="inlineStr"/>
      <c r="F99" s="3" t="n">
        <v>0</v>
      </c>
      <c r="G99" s="3" t="n">
        <v>0</v>
      </c>
      <c r="H99" s="3" t="n">
        <v>0</v>
      </c>
      <c r="I99" s="4" t="n">
        <v>25569</v>
      </c>
      <c r="J99" s="3" t="n">
        <v>-30</v>
      </c>
    </row>
    <row r="100">
      <c r="A100" s="3" t="inlineStr">
        <is>
          <t>NGS 260100</t>
        </is>
      </c>
      <c r="B100" s="3" t="inlineStr">
        <is>
          <t>ICAR-Iivr, Varanasi</t>
        </is>
      </c>
      <c r="C100" s="3" t="inlineStr">
        <is>
          <t>Project Closure</t>
        </is>
      </c>
      <c r="D100" s="3" t="inlineStr">
        <is>
          <t>UPL/GEN/371/2526</t>
        </is>
      </c>
      <c r="E100" s="4" t="n">
        <v>46098</v>
      </c>
      <c r="F100" s="3" t="n">
        <v>0</v>
      </c>
      <c r="G100" s="3" t="n">
        <v>0</v>
      </c>
      <c r="H100" s="3" t="n">
        <v>0</v>
      </c>
      <c r="I100" s="4" t="n">
        <v>25569</v>
      </c>
      <c r="J100" s="3" t="n">
        <v>-30</v>
      </c>
    </row>
    <row r="101">
      <c r="A101" s="3" t="inlineStr">
        <is>
          <t>NGS 260101</t>
        </is>
      </c>
      <c r="B101" s="3" t="inlineStr">
        <is>
          <t>Aiims - Delhi</t>
        </is>
      </c>
      <c r="C101" s="3" t="inlineStr">
        <is>
          <t>Project Closure</t>
        </is>
      </c>
      <c r="D101" s="3" t="inlineStr">
        <is>
          <t>0</t>
        </is>
      </c>
      <c r="E101" s="3" t="inlineStr"/>
      <c r="F101" s="3" t="n">
        <v>46219</v>
      </c>
      <c r="G101" s="3" t="n">
        <v>0</v>
      </c>
      <c r="H101" s="3" t="n">
        <v>-156940</v>
      </c>
      <c r="I101" s="4" t="n">
        <v>25569</v>
      </c>
      <c r="J101" s="3" t="n">
        <v>46189</v>
      </c>
    </row>
    <row r="102">
      <c r="A102" s="3" t="inlineStr">
        <is>
          <t>NGS 260103</t>
        </is>
      </c>
      <c r="B102" s="3" t="inlineStr">
        <is>
          <t>Aiims - Delhi</t>
        </is>
      </c>
      <c r="C102" s="3" t="inlineStr">
        <is>
          <t>Project Closure</t>
        </is>
      </c>
      <c r="D102" s="3" t="inlineStr">
        <is>
          <t>0</t>
        </is>
      </c>
      <c r="E102" s="3" t="inlineStr"/>
      <c r="F102" s="3" t="n">
        <v>46219</v>
      </c>
      <c r="G102" s="3" t="n">
        <v>0</v>
      </c>
      <c r="H102" s="3" t="n">
        <v>-74340</v>
      </c>
      <c r="I102" s="4" t="n">
        <v>25569</v>
      </c>
      <c r="J102" s="3" t="n">
        <v>46189</v>
      </c>
    </row>
    <row r="103">
      <c r="A103" s="3" t="inlineStr">
        <is>
          <t>NGS 260104</t>
        </is>
      </c>
      <c r="B103" s="3" t="inlineStr">
        <is>
          <t>Niper-A</t>
        </is>
      </c>
      <c r="C103" s="3" t="inlineStr">
        <is>
          <t>Project Closure</t>
        </is>
      </c>
      <c r="D103" s="3" t="inlineStr">
        <is>
          <t>UPL/GEN/359/2526</t>
        </is>
      </c>
      <c r="E103" s="4" t="n">
        <v>46093</v>
      </c>
      <c r="F103" s="3" t="n">
        <v>126</v>
      </c>
      <c r="G103" s="3" t="n">
        <v>40120</v>
      </c>
      <c r="H103" s="3" t="n">
        <v>0</v>
      </c>
      <c r="I103" s="4" t="n">
        <v>25569</v>
      </c>
      <c r="J103" s="3" t="n">
        <v>96</v>
      </c>
    </row>
    <row r="104">
      <c r="A104" s="3" t="inlineStr">
        <is>
          <t>NGS 260105</t>
        </is>
      </c>
      <c r="B104" s="3" t="inlineStr">
        <is>
          <t>Advait Theragnostics</t>
        </is>
      </c>
      <c r="C104" s="3" t="inlineStr">
        <is>
          <t>QC Fail</t>
        </is>
      </c>
      <c r="D104" s="3" t="inlineStr">
        <is>
          <t>0</t>
        </is>
      </c>
      <c r="E104" s="3" t="inlineStr"/>
      <c r="F104" s="3" t="n">
        <v>0</v>
      </c>
      <c r="G104" s="3" t="n">
        <v>0</v>
      </c>
      <c r="H104" s="3" t="n">
        <v>0</v>
      </c>
      <c r="I104" s="4" t="n">
        <v>25569</v>
      </c>
      <c r="J104" s="3" t="n">
        <v>-30</v>
      </c>
    </row>
    <row r="105">
      <c r="A105" s="3" t="inlineStr">
        <is>
          <t>NGS 260106</t>
        </is>
      </c>
      <c r="B105" s="3" t="inlineStr">
        <is>
          <t>Cmc Vellore</t>
        </is>
      </c>
      <c r="C105" s="3" t="inlineStr">
        <is>
          <t>Project Closure</t>
        </is>
      </c>
      <c r="D105" s="3" t="inlineStr">
        <is>
          <t>UPL/GEN/2627/04</t>
        </is>
      </c>
      <c r="E105" s="4" t="n">
        <v>46119</v>
      </c>
      <c r="F105" s="3" t="n">
        <v>100</v>
      </c>
      <c r="G105" s="3" t="n">
        <v>132160</v>
      </c>
      <c r="H105" s="3" t="n">
        <v>0</v>
      </c>
      <c r="I105" s="4" t="n">
        <v>25569</v>
      </c>
      <c r="J105" s="3" t="n">
        <v>70</v>
      </c>
    </row>
    <row r="106">
      <c r="A106" s="3" t="inlineStr">
        <is>
          <t>NGS 260107</t>
        </is>
      </c>
      <c r="B106" s="3" t="inlineStr">
        <is>
          <t>Cmc Vellore</t>
        </is>
      </c>
      <c r="C106" s="3" t="inlineStr">
        <is>
          <t>Project Closure</t>
        </is>
      </c>
      <c r="D106" s="3" t="inlineStr">
        <is>
          <t>UPL/GEN/2627/03</t>
        </is>
      </c>
      <c r="E106" s="4" t="n">
        <v>46119</v>
      </c>
      <c r="F106" s="3" t="n">
        <v>100</v>
      </c>
      <c r="G106" s="3" t="n">
        <v>266326</v>
      </c>
      <c r="H106" s="3" t="n">
        <v>0</v>
      </c>
      <c r="I106" s="4" t="n">
        <v>25569</v>
      </c>
      <c r="J106" s="3" t="n">
        <v>70</v>
      </c>
    </row>
    <row r="107">
      <c r="A107" s="3" t="inlineStr">
        <is>
          <t>NGS 260108</t>
        </is>
      </c>
      <c r="B107" s="3" t="inlineStr">
        <is>
          <t>Cmc Vellore</t>
        </is>
      </c>
      <c r="C107" s="3" t="inlineStr">
        <is>
          <t>Project Closure</t>
        </is>
      </c>
      <c r="D107" s="3" t="inlineStr">
        <is>
          <t>UPL/GEN/421/2526</t>
        </is>
      </c>
      <c r="E107" s="4" t="n">
        <v>46112</v>
      </c>
      <c r="F107" s="3" t="n">
        <v>107</v>
      </c>
      <c r="G107" s="3" t="n">
        <v>455952</v>
      </c>
      <c r="H107" s="3" t="n">
        <v>0</v>
      </c>
      <c r="I107" s="4" t="n">
        <v>25569</v>
      </c>
      <c r="J107" s="3" t="n">
        <v>77</v>
      </c>
    </row>
    <row r="108">
      <c r="A108" s="3" t="inlineStr">
        <is>
          <t>NGS 260109</t>
        </is>
      </c>
      <c r="B108" s="3" t="inlineStr">
        <is>
          <t>Geno Connect Services Private Limited</t>
        </is>
      </c>
      <c r="C108" s="3" t="inlineStr">
        <is>
          <t>Project Closure</t>
        </is>
      </c>
      <c r="D108" s="3" t="inlineStr">
        <is>
          <t>0</t>
        </is>
      </c>
      <c r="E108" s="3" t="inlineStr"/>
      <c r="F108" s="3" t="n">
        <v>0</v>
      </c>
      <c r="G108" s="3" t="n">
        <v>0</v>
      </c>
      <c r="H108" s="3" t="n">
        <v>-9440</v>
      </c>
      <c r="I108" s="4" t="n">
        <v>25569</v>
      </c>
      <c r="J108" s="3" t="n">
        <v>-30</v>
      </c>
    </row>
    <row r="109">
      <c r="A109" s="3" t="inlineStr">
        <is>
          <t xml:space="preserve">Advance </t>
        </is>
      </c>
      <c r="B109" s="3" t="inlineStr">
        <is>
          <t>Rgcirc, Delhi</t>
        </is>
      </c>
      <c r="C109" s="3" t="inlineStr">
        <is>
          <t>0</t>
        </is>
      </c>
      <c r="D109" s="3" t="inlineStr">
        <is>
          <t>0</t>
        </is>
      </c>
      <c r="E109" s="3" t="inlineStr"/>
      <c r="F109" s="3" t="n">
        <v>0</v>
      </c>
      <c r="G109" s="3" t="n">
        <v>0</v>
      </c>
      <c r="H109" s="3" t="n">
        <v>0</v>
      </c>
      <c r="I109" s="4" t="n">
        <v>25569</v>
      </c>
      <c r="J109" s="3" t="n">
        <v>-30</v>
      </c>
    </row>
    <row r="110">
      <c r="A110" s="3" t="inlineStr">
        <is>
          <t>NGS 260110</t>
        </is>
      </c>
      <c r="B110" s="3" t="inlineStr">
        <is>
          <t>ICAR-Nbagr, Karnal</t>
        </is>
      </c>
      <c r="C110" s="3" t="inlineStr">
        <is>
          <t>Project Closure</t>
        </is>
      </c>
      <c r="D110" s="3" t="inlineStr">
        <is>
          <t>UPL/GEN/413/2526</t>
        </is>
      </c>
      <c r="E110" s="3" t="inlineStr"/>
      <c r="F110" s="3" t="n">
        <v>46219</v>
      </c>
      <c r="G110" s="3" t="n">
        <v>0</v>
      </c>
      <c r="H110" s="3" t="n">
        <v>0</v>
      </c>
      <c r="I110" s="4" t="n">
        <v>25569</v>
      </c>
      <c r="J110" s="3" t="n">
        <v>46189</v>
      </c>
    </row>
    <row r="111">
      <c r="A111" s="3" t="inlineStr">
        <is>
          <t>NGS 260111</t>
        </is>
      </c>
      <c r="B111" s="3" t="inlineStr">
        <is>
          <t>ICAR-Nbagr, Karnal</t>
        </is>
      </c>
      <c r="C111" s="3" t="inlineStr">
        <is>
          <t>Project Closure</t>
        </is>
      </c>
      <c r="D111" s="3" t="inlineStr">
        <is>
          <t>0</t>
        </is>
      </c>
      <c r="E111" s="4" t="n">
        <v>46111</v>
      </c>
      <c r="F111" s="3" t="n">
        <v>108</v>
      </c>
      <c r="G111" s="3" t="n">
        <v>613600</v>
      </c>
      <c r="H111" s="3" t="n">
        <v>0</v>
      </c>
      <c r="I111" s="4" t="n">
        <v>25569</v>
      </c>
      <c r="J111" s="3" t="n">
        <v>78</v>
      </c>
    </row>
    <row r="112">
      <c r="A112" s="3" t="inlineStr">
        <is>
          <t>NGS 260112</t>
        </is>
      </c>
      <c r="B112" s="3" t="inlineStr">
        <is>
          <t>ICAR-Nbagr, Karnal</t>
        </is>
      </c>
      <c r="C112" s="3" t="inlineStr">
        <is>
          <t>0</t>
        </is>
      </c>
      <c r="D112" s="3" t="inlineStr">
        <is>
          <t>0</t>
        </is>
      </c>
      <c r="E112" s="3" t="inlineStr"/>
      <c r="F112" s="3" t="n">
        <v>0</v>
      </c>
      <c r="G112" s="3" t="n">
        <v>0</v>
      </c>
      <c r="H112" s="3" t="n">
        <v>0</v>
      </c>
      <c r="I112" s="4" t="n">
        <v>25569</v>
      </c>
      <c r="J112" s="3" t="n">
        <v>-30</v>
      </c>
    </row>
    <row r="113">
      <c r="A113" s="3" t="inlineStr">
        <is>
          <t>NGS 260113</t>
        </is>
      </c>
      <c r="B113" s="3" t="inlineStr">
        <is>
          <t>Econext Unit Of Saibiosystems Pvt Ltd</t>
        </is>
      </c>
      <c r="C113" s="3" t="inlineStr">
        <is>
          <t>Project Closure</t>
        </is>
      </c>
      <c r="D113" s="3" t="inlineStr">
        <is>
          <t>UPL/GEN/2627/50</t>
        </is>
      </c>
      <c r="E113" s="4" t="n">
        <v>46179</v>
      </c>
      <c r="F113" s="3" t="n">
        <v>40</v>
      </c>
      <c r="G113" s="3" t="n">
        <v>12980</v>
      </c>
      <c r="H113" s="3" t="n">
        <v>0</v>
      </c>
      <c r="I113" s="4" t="n">
        <v>25569</v>
      </c>
      <c r="J113" s="3" t="n">
        <v>10</v>
      </c>
    </row>
    <row r="114">
      <c r="A114" s="3" t="inlineStr">
        <is>
          <t>NGS 260114</t>
        </is>
      </c>
      <c r="B114" s="3" t="inlineStr">
        <is>
          <t>Symbiont Life Sciences</t>
        </is>
      </c>
      <c r="C114" s="3" t="inlineStr">
        <is>
          <t>0</t>
        </is>
      </c>
      <c r="D114" s="3" t="inlineStr">
        <is>
          <t>0</t>
        </is>
      </c>
      <c r="E114" s="3" t="inlineStr"/>
      <c r="F114" s="3" t="n">
        <v>0</v>
      </c>
      <c r="G114" s="3" t="n">
        <v>0</v>
      </c>
      <c r="H114" s="3" t="n">
        <v>-17700</v>
      </c>
      <c r="I114" s="4" t="n">
        <v>25569</v>
      </c>
      <c r="J114" s="3" t="n">
        <v>-30</v>
      </c>
    </row>
    <row r="115">
      <c r="A115" s="3" t="inlineStr">
        <is>
          <t>NGS 260115</t>
        </is>
      </c>
      <c r="B115" s="3" t="inlineStr">
        <is>
          <t>Geno Connect Services Private Limited</t>
        </is>
      </c>
      <c r="C115" s="3" t="inlineStr">
        <is>
          <t>Project Closure</t>
        </is>
      </c>
      <c r="D115" s="3" t="inlineStr">
        <is>
          <t>UPL/GEN/2627/39</t>
        </is>
      </c>
      <c r="E115" s="4" t="n">
        <v>46171</v>
      </c>
      <c r="F115" s="3" t="n">
        <v>48</v>
      </c>
      <c r="G115" s="3" t="n">
        <v>3540</v>
      </c>
      <c r="H115" s="3" t="n">
        <v>0</v>
      </c>
      <c r="I115" s="4" t="n">
        <v>25569</v>
      </c>
      <c r="J115" s="3" t="n">
        <v>18</v>
      </c>
    </row>
    <row r="116">
      <c r="A116" s="3" t="inlineStr">
        <is>
          <t>NGS 260116</t>
        </is>
      </c>
      <c r="B116" s="3" t="inlineStr">
        <is>
          <t>Rcb</t>
        </is>
      </c>
      <c r="C116" s="3" t="inlineStr">
        <is>
          <t>Project Closure</t>
        </is>
      </c>
      <c r="D116" s="3" t="inlineStr">
        <is>
          <t>UPL/GEN/388/2526</t>
        </is>
      </c>
      <c r="E116" s="4" t="n">
        <v>46102</v>
      </c>
      <c r="F116" s="3" t="n">
        <v>117</v>
      </c>
      <c r="G116" s="3" t="n">
        <v>53100</v>
      </c>
      <c r="H116" s="3" t="n">
        <v>0</v>
      </c>
      <c r="I116" s="4" t="n">
        <v>25569</v>
      </c>
      <c r="J116" s="3" t="n">
        <v>87</v>
      </c>
    </row>
    <row r="117">
      <c r="A117" s="3" t="inlineStr">
        <is>
          <t>NGS 260117</t>
        </is>
      </c>
      <c r="B117" s="3" t="inlineStr">
        <is>
          <t>Rcb</t>
        </is>
      </c>
      <c r="C117" s="3" t="inlineStr">
        <is>
          <t>Project Closure</t>
        </is>
      </c>
      <c r="D117" s="3" t="inlineStr">
        <is>
          <t>UPL/GEN/388/2526</t>
        </is>
      </c>
      <c r="E117" s="4" t="n">
        <v>46102</v>
      </c>
      <c r="F117" s="3" t="n">
        <v>117</v>
      </c>
      <c r="G117" s="3" t="n">
        <v>53100</v>
      </c>
      <c r="H117" s="3" t="n">
        <v>0</v>
      </c>
      <c r="I117" s="4" t="n">
        <v>25569</v>
      </c>
      <c r="J117" s="3" t="n">
        <v>87</v>
      </c>
    </row>
    <row r="118">
      <c r="A118" s="3" t="inlineStr">
        <is>
          <t>NGS 260118</t>
        </is>
      </c>
      <c r="B118" s="3" t="inlineStr">
        <is>
          <t>Invitro Lab Services</t>
        </is>
      </c>
      <c r="C118" s="3" t="inlineStr">
        <is>
          <t>0</t>
        </is>
      </c>
      <c r="D118" s="3" t="inlineStr">
        <is>
          <t>0</t>
        </is>
      </c>
      <c r="E118" s="3" t="inlineStr"/>
      <c r="F118" s="3" t="n">
        <v>0</v>
      </c>
      <c r="G118" s="3" t="n">
        <v>0</v>
      </c>
      <c r="H118" s="3" t="n">
        <v>-198009.9</v>
      </c>
      <c r="I118" s="4" t="n">
        <v>25569</v>
      </c>
      <c r="J118" s="3" t="n">
        <v>-30</v>
      </c>
    </row>
    <row r="119">
      <c r="A119" s="3" t="inlineStr">
        <is>
          <t>NGS 260119</t>
        </is>
      </c>
      <c r="B119" s="3" t="inlineStr">
        <is>
          <t>Novelgene Technology Private Limited</t>
        </is>
      </c>
      <c r="C119" s="3" t="inlineStr">
        <is>
          <t>Project Closure</t>
        </is>
      </c>
      <c r="D119" s="3" t="inlineStr">
        <is>
          <t>UPL/GEN/2627/56</t>
        </is>
      </c>
      <c r="E119" s="4" t="n">
        <v>46192</v>
      </c>
      <c r="F119" s="3" t="n">
        <v>27</v>
      </c>
      <c r="G119" s="3" t="n">
        <v>0</v>
      </c>
      <c r="H119" s="3" t="n">
        <v>-226560</v>
      </c>
      <c r="I119" s="4" t="n">
        <v>25569</v>
      </c>
      <c r="J119" s="3" t="n">
        <v>-3</v>
      </c>
    </row>
    <row r="120">
      <c r="A120" s="3" t="inlineStr">
        <is>
          <t>NGS 260120</t>
        </is>
      </c>
      <c r="B120" s="3" t="inlineStr">
        <is>
          <t>Government Women'S College</t>
        </is>
      </c>
      <c r="C120" s="3" t="inlineStr">
        <is>
          <t>Project Closure</t>
        </is>
      </c>
      <c r="D120" s="3" t="inlineStr">
        <is>
          <t>0</t>
        </is>
      </c>
      <c r="E120" s="3" t="inlineStr"/>
      <c r="F120" s="3" t="n">
        <v>0</v>
      </c>
      <c r="G120" s="3" t="n">
        <v>0</v>
      </c>
      <c r="H120" s="3" t="n">
        <v>-35400</v>
      </c>
      <c r="I120" s="4" t="n">
        <v>25569</v>
      </c>
      <c r="J120" s="3" t="n">
        <v>-30</v>
      </c>
    </row>
    <row r="121">
      <c r="A121" s="3" t="inlineStr">
        <is>
          <t>NGS 260121</t>
        </is>
      </c>
      <c r="B121" s="3" t="inlineStr">
        <is>
          <t>Discovery Scientifics</t>
        </is>
      </c>
      <c r="C121" s="3" t="inlineStr">
        <is>
          <t>Project Closure</t>
        </is>
      </c>
      <c r="D121" s="3" t="inlineStr">
        <is>
          <t>0</t>
        </is>
      </c>
      <c r="E121" s="3" t="inlineStr"/>
      <c r="F121" s="3" t="n">
        <v>0</v>
      </c>
      <c r="G121" s="3" t="n">
        <v>0</v>
      </c>
      <c r="H121" s="3" t="n">
        <v>-9440</v>
      </c>
      <c r="I121" s="4" t="n">
        <v>25569</v>
      </c>
      <c r="J121" s="3" t="n">
        <v>-30</v>
      </c>
    </row>
    <row r="122">
      <c r="A122" s="3" t="inlineStr">
        <is>
          <t>NGS 260122</t>
        </is>
      </c>
      <c r="B122" s="3" t="inlineStr">
        <is>
          <t>IIT Kanpur</t>
        </is>
      </c>
      <c r="C122" s="3" t="inlineStr">
        <is>
          <t>QC Fail</t>
        </is>
      </c>
      <c r="D122" s="3" t="inlineStr">
        <is>
          <t>0</t>
        </is>
      </c>
      <c r="E122" s="3" t="inlineStr"/>
      <c r="F122" s="3" t="n">
        <v>0</v>
      </c>
      <c r="G122" s="3" t="n">
        <v>0</v>
      </c>
      <c r="H122" s="3" t="n">
        <v>0</v>
      </c>
      <c r="I122" s="4" t="n">
        <v>25569</v>
      </c>
      <c r="J122" s="3" t="n">
        <v>-30</v>
      </c>
    </row>
    <row r="123">
      <c r="A123" s="3" t="inlineStr">
        <is>
          <t>NGS 260123</t>
        </is>
      </c>
      <c r="B123" s="3" t="inlineStr">
        <is>
          <t>Rgcirc, Delhi</t>
        </is>
      </c>
      <c r="C123" s="3" t="inlineStr">
        <is>
          <t>Project Closure</t>
        </is>
      </c>
      <c r="D123" s="3" t="inlineStr">
        <is>
          <t>UPL/GEN/266/2526</t>
        </is>
      </c>
      <c r="E123" s="3" t="inlineStr"/>
      <c r="F123" s="3" t="n">
        <v>46219</v>
      </c>
      <c r="G123" s="3" t="n">
        <v>123900</v>
      </c>
      <c r="H123" s="3" t="n">
        <v>0</v>
      </c>
      <c r="I123" s="4" t="n">
        <v>25569</v>
      </c>
      <c r="J123" s="3" t="n">
        <v>46189</v>
      </c>
    </row>
    <row r="124">
      <c r="A124" s="3" t="inlineStr">
        <is>
          <t>NGS 260125</t>
        </is>
      </c>
      <c r="B124" s="3" t="inlineStr">
        <is>
          <t>Gene Bio Solution</t>
        </is>
      </c>
      <c r="C124" s="3" t="inlineStr">
        <is>
          <t>Project Closure</t>
        </is>
      </c>
      <c r="D124" s="3" t="inlineStr">
        <is>
          <t>0</t>
        </is>
      </c>
      <c r="E124" s="3" t="inlineStr"/>
      <c r="F124" s="3" t="n">
        <v>46219</v>
      </c>
      <c r="G124" s="3" t="n">
        <v>0</v>
      </c>
      <c r="H124" s="3" t="n">
        <v>-12390</v>
      </c>
      <c r="I124" s="4" t="n">
        <v>25569</v>
      </c>
      <c r="J124" s="3" t="n">
        <v>46189</v>
      </c>
    </row>
    <row r="125">
      <c r="A125" s="3" t="inlineStr">
        <is>
          <t>NGS 260126</t>
        </is>
      </c>
      <c r="B125" s="3" t="inlineStr">
        <is>
          <t>Gene Bio Solution</t>
        </is>
      </c>
      <c r="C125" s="3" t="inlineStr">
        <is>
          <t>Project Closure</t>
        </is>
      </c>
      <c r="D125" s="3" t="inlineStr">
        <is>
          <t>0</t>
        </is>
      </c>
      <c r="E125" s="3" t="inlineStr"/>
      <c r="F125" s="3" t="n">
        <v>46219</v>
      </c>
      <c r="G125" s="3" t="n">
        <v>0</v>
      </c>
      <c r="H125" s="3" t="n">
        <v>-12390</v>
      </c>
      <c r="I125" s="4" t="n">
        <v>25569</v>
      </c>
      <c r="J125" s="3" t="n">
        <v>46189</v>
      </c>
    </row>
    <row r="126">
      <c r="A126" s="3" t="inlineStr">
        <is>
          <t>NGS 260127</t>
        </is>
      </c>
      <c r="B126" s="3" t="inlineStr">
        <is>
          <t>IIT, Kanpur</t>
        </is>
      </c>
      <c r="C126" s="3" t="inlineStr">
        <is>
          <t>Project Closure</t>
        </is>
      </c>
      <c r="D126" s="3" t="inlineStr">
        <is>
          <t>0</t>
        </is>
      </c>
      <c r="E126" s="3" t="inlineStr"/>
      <c r="F126" s="3" t="n">
        <v>46219</v>
      </c>
      <c r="G126" s="3" t="n">
        <v>0</v>
      </c>
      <c r="H126" s="3" t="n">
        <v>-188800</v>
      </c>
      <c r="I126" s="4" t="n">
        <v>25569</v>
      </c>
      <c r="J126" s="3" t="n">
        <v>46189</v>
      </c>
    </row>
    <row r="127">
      <c r="A127" s="3" t="inlineStr">
        <is>
          <t>NGS 260128</t>
        </is>
      </c>
      <c r="B127" s="3" t="inlineStr">
        <is>
          <t>Aiims - Delhi</t>
        </is>
      </c>
      <c r="C127" s="3" t="inlineStr">
        <is>
          <t>Project Closure</t>
        </is>
      </c>
      <c r="D127" s="3" t="inlineStr">
        <is>
          <t>0</t>
        </is>
      </c>
      <c r="E127" s="3" t="inlineStr"/>
      <c r="F127" s="3" t="n">
        <v>46219</v>
      </c>
      <c r="G127" s="3" t="n">
        <v>0</v>
      </c>
      <c r="H127" s="3" t="n">
        <v>-156940</v>
      </c>
      <c r="I127" s="4" t="n">
        <v>25569</v>
      </c>
      <c r="J127" s="3" t="n">
        <v>46189</v>
      </c>
    </row>
    <row r="128">
      <c r="A128" s="3" t="inlineStr">
        <is>
          <t>NGS 260129</t>
        </is>
      </c>
      <c r="B128" s="3" t="inlineStr">
        <is>
          <t>Aiims - Delhi</t>
        </is>
      </c>
      <c r="C128" s="3" t="inlineStr">
        <is>
          <t>Project Closure</t>
        </is>
      </c>
      <c r="D128" s="3" t="inlineStr">
        <is>
          <t>0</t>
        </is>
      </c>
      <c r="E128" s="3" t="inlineStr"/>
      <c r="F128" s="3" t="n">
        <v>46219</v>
      </c>
      <c r="G128" s="3" t="n">
        <v>0</v>
      </c>
      <c r="H128" s="3" t="n">
        <v>-169920</v>
      </c>
      <c r="I128" s="4" t="n">
        <v>25569</v>
      </c>
      <c r="J128" s="3" t="n">
        <v>46189</v>
      </c>
    </row>
    <row r="129">
      <c r="A129" s="3" t="inlineStr">
        <is>
          <t>NGS 260130</t>
        </is>
      </c>
      <c r="B129" s="3" t="inlineStr">
        <is>
          <t>Geno Connect Services Private Limited</t>
        </is>
      </c>
      <c r="C129" s="3" t="inlineStr">
        <is>
          <t>Project Closure</t>
        </is>
      </c>
      <c r="D129" s="3" t="inlineStr">
        <is>
          <t>UPL/GEN/2627/41</t>
        </is>
      </c>
      <c r="E129" s="4" t="n">
        <v>46171</v>
      </c>
      <c r="F129" s="3" t="n">
        <v>48</v>
      </c>
      <c r="G129" s="3" t="n">
        <v>9440</v>
      </c>
      <c r="H129" s="3" t="n">
        <v>0</v>
      </c>
      <c r="I129" s="4" t="n">
        <v>25569</v>
      </c>
      <c r="J129" s="3" t="n">
        <v>18</v>
      </c>
    </row>
    <row r="130">
      <c r="A130" s="3" t="inlineStr">
        <is>
          <t>NGS 260131</t>
        </is>
      </c>
      <c r="B130" s="3" t="inlineStr">
        <is>
          <t>Geno Connect Services Private Limited</t>
        </is>
      </c>
      <c r="C130" s="3" t="inlineStr">
        <is>
          <t>Project Closure</t>
        </is>
      </c>
      <c r="D130" s="3" t="inlineStr">
        <is>
          <t>UPL/GEN/2627/58</t>
        </is>
      </c>
      <c r="E130" s="4" t="n">
        <v>46192</v>
      </c>
      <c r="F130" s="3" t="n">
        <v>27</v>
      </c>
      <c r="G130" s="3" t="n">
        <v>3540</v>
      </c>
      <c r="H130" s="3" t="n">
        <v>0</v>
      </c>
      <c r="I130" s="4" t="n">
        <v>25569</v>
      </c>
      <c r="J130" s="3" t="n">
        <v>-3</v>
      </c>
    </row>
    <row r="131">
      <c r="A131" s="3" t="inlineStr">
        <is>
          <t>NGS 260132</t>
        </is>
      </c>
      <c r="B131" s="3" t="inlineStr">
        <is>
          <t>Cancer Institute Wia</t>
        </is>
      </c>
      <c r="C131" s="3" t="inlineStr">
        <is>
          <t>Project Closure</t>
        </is>
      </c>
      <c r="D131" s="3" t="inlineStr">
        <is>
          <t>UPL/GEN/392/2526</t>
        </is>
      </c>
      <c r="E131" s="4" t="n">
        <v>46104</v>
      </c>
      <c r="F131" s="3" t="n">
        <v>115</v>
      </c>
      <c r="G131" s="3" t="n">
        <v>224200</v>
      </c>
      <c r="H131" s="3" t="n">
        <v>0</v>
      </c>
      <c r="I131" s="4" t="n">
        <v>25569</v>
      </c>
      <c r="J131" s="3" t="n">
        <v>85</v>
      </c>
    </row>
    <row r="132">
      <c r="A132" s="3" t="inlineStr">
        <is>
          <t>NGS 260133</t>
        </is>
      </c>
      <c r="B132" s="3" t="inlineStr">
        <is>
          <t>Cancer Institute Wia</t>
        </is>
      </c>
      <c r="C132" s="3" t="inlineStr">
        <is>
          <t>Project Closure</t>
        </is>
      </c>
      <c r="D132" s="3" t="inlineStr">
        <is>
          <t>UPL/GEN/394/2526</t>
        </is>
      </c>
      <c r="E132" s="4" t="n">
        <v>46104</v>
      </c>
      <c r="F132" s="3" t="n">
        <v>115</v>
      </c>
      <c r="G132" s="3" t="n">
        <v>223020</v>
      </c>
      <c r="H132" s="3" t="n">
        <v>0</v>
      </c>
      <c r="I132" s="4" t="n">
        <v>25569</v>
      </c>
      <c r="J132" s="3" t="n">
        <v>85</v>
      </c>
    </row>
    <row r="133">
      <c r="A133" s="3" t="inlineStr">
        <is>
          <t>NGS 260134</t>
        </is>
      </c>
      <c r="B133" s="3" t="inlineStr">
        <is>
          <t>ICAR-Nbagr, Karnal</t>
        </is>
      </c>
      <c r="C133" s="3" t="inlineStr">
        <is>
          <t>Project Closure</t>
        </is>
      </c>
      <c r="D133" s="3" t="inlineStr">
        <is>
          <t>0</t>
        </is>
      </c>
      <c r="E133" s="3" t="inlineStr"/>
      <c r="F133" s="3" t="n">
        <v>46219</v>
      </c>
      <c r="G133" s="3" t="n">
        <v>0</v>
      </c>
      <c r="H133" s="3" t="n">
        <v>0</v>
      </c>
      <c r="I133" s="4" t="n">
        <v>25569</v>
      </c>
      <c r="J133" s="3" t="n">
        <v>46189</v>
      </c>
    </row>
    <row r="134">
      <c r="A134" s="3" t="inlineStr">
        <is>
          <t>Re-NGS 260135</t>
        </is>
      </c>
      <c r="B134" s="3" t="inlineStr">
        <is>
          <t>ICAR-Nbagr, Karnal</t>
        </is>
      </c>
      <c r="C134" s="3" t="inlineStr">
        <is>
          <t>0</t>
        </is>
      </c>
      <c r="D134" s="3" t="inlineStr">
        <is>
          <t>0</t>
        </is>
      </c>
      <c r="E134" s="3" t="inlineStr"/>
      <c r="F134" s="3" t="n">
        <v>0</v>
      </c>
      <c r="G134" s="3" t="n">
        <v>0</v>
      </c>
      <c r="H134" s="3" t="n">
        <v>0</v>
      </c>
      <c r="I134" s="4" t="n">
        <v>25569</v>
      </c>
      <c r="J134" s="3" t="n">
        <v>-30</v>
      </c>
    </row>
    <row r="135">
      <c r="A135" s="3" t="inlineStr">
        <is>
          <t>NGS 260136</t>
        </is>
      </c>
      <c r="B135" s="3" t="inlineStr">
        <is>
          <t>Actrec, Tata Memorial Centre</t>
        </is>
      </c>
      <c r="C135" s="3" t="inlineStr">
        <is>
          <t>Project Closure</t>
        </is>
      </c>
      <c r="D135" s="3" t="inlineStr">
        <is>
          <t>UPL/GEN/2627/32</t>
        </is>
      </c>
      <c r="E135" s="4" t="n">
        <v>46160</v>
      </c>
      <c r="F135" s="3" t="n">
        <v>59</v>
      </c>
      <c r="G135" s="3" t="n">
        <v>0</v>
      </c>
      <c r="H135" s="3" t="n">
        <v>-35400</v>
      </c>
      <c r="I135" s="4" t="n">
        <v>25569</v>
      </c>
      <c r="J135" s="3" t="n">
        <v>29</v>
      </c>
    </row>
    <row r="136">
      <c r="A136" s="3" t="inlineStr">
        <is>
          <t>NGS 260137</t>
        </is>
      </c>
      <c r="B136" s="3" t="inlineStr">
        <is>
          <t>Iiser Pune</t>
        </is>
      </c>
      <c r="C136" s="3" t="inlineStr">
        <is>
          <t>Project Closure</t>
        </is>
      </c>
      <c r="D136" s="3" t="inlineStr">
        <is>
          <t>0</t>
        </is>
      </c>
      <c r="E136" s="3" t="inlineStr"/>
      <c r="F136" s="3" t="n">
        <v>0</v>
      </c>
      <c r="G136" s="3" t="n">
        <v>0</v>
      </c>
      <c r="H136" s="3" t="n">
        <v>-99120</v>
      </c>
      <c r="I136" s="4" t="n">
        <v>25569</v>
      </c>
      <c r="J136" s="3" t="n">
        <v>-30</v>
      </c>
    </row>
    <row r="137">
      <c r="A137" s="3" t="inlineStr">
        <is>
          <t>NGS 260138</t>
        </is>
      </c>
      <c r="B137" s="3" t="inlineStr">
        <is>
          <t>Institute For Seri-Biotechnological Research</t>
        </is>
      </c>
      <c r="C137" s="3" t="inlineStr">
        <is>
          <t>0</t>
        </is>
      </c>
      <c r="D137" s="3" t="inlineStr">
        <is>
          <t>0</t>
        </is>
      </c>
      <c r="E137" s="3" t="inlineStr"/>
      <c r="F137" s="3" t="n">
        <v>0</v>
      </c>
      <c r="G137" s="3" t="n">
        <v>0</v>
      </c>
      <c r="H137" s="3" t="n">
        <v>-342200</v>
      </c>
      <c r="I137" s="4" t="n">
        <v>25569</v>
      </c>
      <c r="J137" s="3" t="n">
        <v>-30</v>
      </c>
    </row>
    <row r="138">
      <c r="A138" s="3" t="inlineStr">
        <is>
          <t>RE-NGS 260139</t>
        </is>
      </c>
      <c r="B138" s="3" t="inlineStr">
        <is>
          <t>Genecare Biotech</t>
        </is>
      </c>
      <c r="C138" s="3" t="inlineStr">
        <is>
          <t>0</t>
        </is>
      </c>
      <c r="D138" s="3" t="inlineStr">
        <is>
          <t>0</t>
        </is>
      </c>
      <c r="E138" s="3" t="inlineStr"/>
      <c r="F138" s="3" t="n">
        <v>0</v>
      </c>
      <c r="G138" s="3" t="n">
        <v>0</v>
      </c>
      <c r="H138" s="3" t="n">
        <v>-56640</v>
      </c>
      <c r="I138" s="4" t="n">
        <v>25569</v>
      </c>
      <c r="J138" s="3" t="n">
        <v>-30</v>
      </c>
    </row>
    <row r="139">
      <c r="A139" s="3" t="inlineStr">
        <is>
          <t>NGS 260139</t>
        </is>
      </c>
      <c r="B139" s="3" t="inlineStr">
        <is>
          <t>Genecare Biotech</t>
        </is>
      </c>
      <c r="C139" s="3" t="inlineStr">
        <is>
          <t>0</t>
        </is>
      </c>
      <c r="D139" s="3" t="inlineStr">
        <is>
          <t>0</t>
        </is>
      </c>
      <c r="E139" s="3" t="inlineStr"/>
      <c r="F139" s="3" t="n">
        <v>0</v>
      </c>
      <c r="G139" s="3" t="n">
        <v>0</v>
      </c>
      <c r="H139" s="3" t="n">
        <v>0</v>
      </c>
      <c r="I139" s="4" t="n">
        <v>25569</v>
      </c>
      <c r="J139" s="3" t="n">
        <v>-30</v>
      </c>
    </row>
    <row r="140">
      <c r="A140" s="3" t="inlineStr">
        <is>
          <t>Re_NGS 260140</t>
        </is>
      </c>
      <c r="B140" s="3" t="inlineStr">
        <is>
          <t>Symbiont Life Sciences</t>
        </is>
      </c>
      <c r="C140" s="3" t="inlineStr">
        <is>
          <t>QC Fail</t>
        </is>
      </c>
      <c r="D140" s="3" t="inlineStr">
        <is>
          <t>0</t>
        </is>
      </c>
      <c r="E140" s="3" t="inlineStr"/>
      <c r="F140" s="3" t="n">
        <v>0</v>
      </c>
      <c r="G140" s="3" t="n">
        <v>0</v>
      </c>
      <c r="H140" s="3" t="n">
        <v>0</v>
      </c>
      <c r="I140" s="4" t="n">
        <v>25569</v>
      </c>
      <c r="J140" s="3" t="n">
        <v>-30</v>
      </c>
    </row>
    <row r="141">
      <c r="A141" s="3" t="inlineStr">
        <is>
          <t>NGS 260141</t>
        </is>
      </c>
      <c r="B141" s="3" t="inlineStr">
        <is>
          <t>Symbiont Life Sciences</t>
        </is>
      </c>
      <c r="C141" s="3" t="inlineStr">
        <is>
          <t>QC Fail</t>
        </is>
      </c>
      <c r="D141" s="3" t="inlineStr">
        <is>
          <t>0</t>
        </is>
      </c>
      <c r="E141" s="3" t="inlineStr"/>
      <c r="F141" s="3" t="n">
        <v>0</v>
      </c>
      <c r="G141" s="3" t="n">
        <v>0</v>
      </c>
      <c r="H141" s="3" t="n">
        <v>0</v>
      </c>
      <c r="I141" s="4" t="n">
        <v>25569</v>
      </c>
      <c r="J141" s="3" t="n">
        <v>-30</v>
      </c>
    </row>
    <row r="142">
      <c r="A142" s="3" t="inlineStr">
        <is>
          <t>NGS 260142</t>
        </is>
      </c>
      <c r="B142" s="3" t="inlineStr">
        <is>
          <t>Geno Connect Services Private Limited</t>
        </is>
      </c>
      <c r="C142" s="3" t="inlineStr">
        <is>
          <t>Project Closure</t>
        </is>
      </c>
      <c r="D142" s="3" t="inlineStr">
        <is>
          <t>UPL/GEN/2627/43</t>
        </is>
      </c>
      <c r="E142" s="4" t="n">
        <v>46171</v>
      </c>
      <c r="F142" s="3" t="n">
        <v>48</v>
      </c>
      <c r="G142" s="3" t="n">
        <v>3540</v>
      </c>
      <c r="H142" s="3" t="n">
        <v>0</v>
      </c>
      <c r="I142" s="4" t="n">
        <v>25569</v>
      </c>
      <c r="J142" s="3" t="n">
        <v>18</v>
      </c>
    </row>
    <row r="143">
      <c r="A143" s="3" t="inlineStr">
        <is>
          <t>NGS 260143</t>
        </is>
      </c>
      <c r="B143" s="3" t="inlineStr">
        <is>
          <t>Iiser Tvm</t>
        </is>
      </c>
      <c r="C143" s="3" t="inlineStr">
        <is>
          <t>0</t>
        </is>
      </c>
      <c r="D143" s="3" t="inlineStr">
        <is>
          <t>0</t>
        </is>
      </c>
      <c r="E143" s="3" t="inlineStr"/>
      <c r="F143" s="3" t="n">
        <v>0</v>
      </c>
      <c r="G143" s="3" t="n">
        <v>0</v>
      </c>
      <c r="H143" s="3" t="n">
        <v>-153400</v>
      </c>
      <c r="I143" s="4" t="n">
        <v>25569</v>
      </c>
      <c r="J143" s="3" t="n">
        <v>-30</v>
      </c>
    </row>
    <row r="144">
      <c r="A144" s="3" t="inlineStr">
        <is>
          <t>NGS 260144</t>
        </is>
      </c>
      <c r="B144" s="3" t="inlineStr">
        <is>
          <t>Aiims Raipur</t>
        </is>
      </c>
      <c r="C144" s="3" t="inlineStr">
        <is>
          <t>0</t>
        </is>
      </c>
      <c r="D144" s="3" t="inlineStr">
        <is>
          <t>0</t>
        </is>
      </c>
      <c r="E144" s="3" t="inlineStr"/>
      <c r="F144" s="3" t="n">
        <v>0</v>
      </c>
      <c r="G144" s="3" t="n">
        <v>0</v>
      </c>
      <c r="H144" s="3" t="n">
        <v>-260780</v>
      </c>
      <c r="I144" s="4" t="n">
        <v>25569</v>
      </c>
      <c r="J144" s="3" t="n">
        <v>-30</v>
      </c>
    </row>
    <row r="145">
      <c r="A145" s="3" t="inlineStr">
        <is>
          <t>NGS 260145</t>
        </is>
      </c>
      <c r="B145" s="3" t="inlineStr">
        <is>
          <t>Cmc Vellore</t>
        </is>
      </c>
      <c r="C145" s="3" t="inlineStr">
        <is>
          <t>Project Closure</t>
        </is>
      </c>
      <c r="D145" s="3" t="inlineStr">
        <is>
          <t>0</t>
        </is>
      </c>
      <c r="E145" s="3" t="inlineStr"/>
      <c r="F145" s="3" t="n">
        <v>46219</v>
      </c>
      <c r="G145" s="3" t="n">
        <v>0</v>
      </c>
      <c r="H145" s="3" t="n">
        <v>-177000</v>
      </c>
      <c r="I145" s="4" t="n">
        <v>25569</v>
      </c>
      <c r="J145" s="3" t="n">
        <v>46189</v>
      </c>
    </row>
    <row r="146">
      <c r="A146" s="3" t="inlineStr">
        <is>
          <t>NGS 260146</t>
        </is>
      </c>
      <c r="B146" s="3" t="inlineStr">
        <is>
          <t>Nature Scientific</t>
        </is>
      </c>
      <c r="C146" s="3" t="inlineStr">
        <is>
          <t>Project Closure</t>
        </is>
      </c>
      <c r="D146" s="3" t="inlineStr">
        <is>
          <t>UPL/GEN/348/2526</t>
        </is>
      </c>
      <c r="E146" s="4" t="n">
        <v>46091</v>
      </c>
      <c r="F146" s="3" t="n">
        <v>128</v>
      </c>
      <c r="G146" s="3" t="n">
        <v>169920</v>
      </c>
      <c r="H146" s="3" t="n">
        <v>0</v>
      </c>
      <c r="I146" s="4" t="n">
        <v>25569</v>
      </c>
      <c r="J146" s="3" t="n">
        <v>98</v>
      </c>
    </row>
    <row r="147">
      <c r="A147" s="3" t="inlineStr">
        <is>
          <t>Re-NGS 260147</t>
        </is>
      </c>
      <c r="B147" s="3" t="inlineStr">
        <is>
          <t>Symbiont Life Sciences</t>
        </is>
      </c>
      <c r="C147" s="3" t="inlineStr">
        <is>
          <t>QC Fail</t>
        </is>
      </c>
      <c r="D147" s="3" t="inlineStr">
        <is>
          <t>0</t>
        </is>
      </c>
      <c r="E147" s="3" t="inlineStr"/>
      <c r="F147" s="3" t="n">
        <v>0</v>
      </c>
      <c r="G147" s="3" t="n">
        <v>0</v>
      </c>
      <c r="H147" s="3" t="n">
        <v>-147500</v>
      </c>
      <c r="I147" s="4" t="n">
        <v>25569</v>
      </c>
      <c r="J147" s="3" t="n">
        <v>-30</v>
      </c>
    </row>
    <row r="148">
      <c r="A148" s="3" t="inlineStr">
        <is>
          <t>NGS 260148</t>
        </is>
      </c>
      <c r="B148" s="3" t="inlineStr">
        <is>
          <t>Symbiont Life Sciences</t>
        </is>
      </c>
      <c r="C148" s="3" t="inlineStr">
        <is>
          <t>Project Closure</t>
        </is>
      </c>
      <c r="D148" s="3" t="inlineStr">
        <is>
          <t>0</t>
        </is>
      </c>
      <c r="E148" s="3" t="inlineStr"/>
      <c r="F148" s="3" t="n">
        <v>0</v>
      </c>
      <c r="G148" s="3" t="n">
        <v>0</v>
      </c>
      <c r="H148" s="3" t="n">
        <v>-7080</v>
      </c>
      <c r="I148" s="4" t="n">
        <v>25569</v>
      </c>
      <c r="J148" s="3" t="n">
        <v>-30</v>
      </c>
    </row>
    <row r="149">
      <c r="A149" s="3" t="inlineStr">
        <is>
          <t>NGS 260149</t>
        </is>
      </c>
      <c r="B149" s="3" t="inlineStr">
        <is>
          <t>Symbiont Life Sciences</t>
        </is>
      </c>
      <c r="C149" s="3" t="inlineStr">
        <is>
          <t>Cancel Project ()</t>
        </is>
      </c>
      <c r="D149" s="3" t="inlineStr">
        <is>
          <t>0</t>
        </is>
      </c>
      <c r="E149" s="3" t="inlineStr"/>
      <c r="F149" s="3" t="n">
        <v>0</v>
      </c>
      <c r="G149" s="3" t="n">
        <v>0</v>
      </c>
      <c r="H149" s="3" t="n">
        <v>0</v>
      </c>
      <c r="I149" s="4" t="n">
        <v>25569</v>
      </c>
      <c r="J149" s="3" t="n">
        <v>-30</v>
      </c>
    </row>
    <row r="150">
      <c r="A150" s="3" t="inlineStr">
        <is>
          <t>Re-NGS 260150</t>
        </is>
      </c>
      <c r="B150" s="3" t="inlineStr">
        <is>
          <t>Symbiont Life Sciences</t>
        </is>
      </c>
      <c r="C150" s="3" t="inlineStr">
        <is>
          <t>0</t>
        </is>
      </c>
      <c r="D150" s="3" t="inlineStr">
        <is>
          <t>0</t>
        </is>
      </c>
      <c r="E150" s="3" t="inlineStr"/>
      <c r="F150" s="3" t="n">
        <v>0</v>
      </c>
      <c r="G150" s="3" t="n">
        <v>0</v>
      </c>
      <c r="H150" s="3" t="n">
        <v>-191160</v>
      </c>
      <c r="I150" s="4" t="n">
        <v>25569</v>
      </c>
      <c r="J150" s="3" t="n">
        <v>-30</v>
      </c>
    </row>
    <row r="151">
      <c r="A151" s="3" t="inlineStr">
        <is>
          <t>NGS 260151</t>
        </is>
      </c>
      <c r="B151" s="3" t="inlineStr">
        <is>
          <t>Cup</t>
        </is>
      </c>
      <c r="C151" s="3" t="inlineStr">
        <is>
          <t>QC Fail</t>
        </is>
      </c>
      <c r="D151" s="3" t="inlineStr">
        <is>
          <t>0</t>
        </is>
      </c>
      <c r="E151" s="3" t="inlineStr"/>
      <c r="F151" s="3" t="n">
        <v>0</v>
      </c>
      <c r="G151" s="3" t="n">
        <v>0</v>
      </c>
      <c r="H151" s="3" t="n">
        <v>0</v>
      </c>
      <c r="I151" s="4" t="n">
        <v>25569</v>
      </c>
      <c r="J151" s="3" t="n">
        <v>-30</v>
      </c>
    </row>
    <row r="152">
      <c r="A152" s="3" t="inlineStr">
        <is>
          <t>NGS 260152</t>
        </is>
      </c>
      <c r="B152" s="3" t="inlineStr">
        <is>
          <t>Geno Connect Services Private Limited</t>
        </is>
      </c>
      <c r="C152" s="3" t="inlineStr">
        <is>
          <t>Project Closure</t>
        </is>
      </c>
      <c r="D152" s="3" t="inlineStr">
        <is>
          <t>UPL/GEN/2627/42</t>
        </is>
      </c>
      <c r="E152" s="4" t="n">
        <v>46171</v>
      </c>
      <c r="F152" s="3" t="n">
        <v>48</v>
      </c>
      <c r="G152" s="3" t="n">
        <v>3540</v>
      </c>
      <c r="H152" s="3" t="n">
        <v>0</v>
      </c>
      <c r="I152" s="4" t="n">
        <v>25569</v>
      </c>
      <c r="J152" s="3" t="n">
        <v>18</v>
      </c>
    </row>
    <row r="153">
      <c r="A153" s="3" t="inlineStr">
        <is>
          <t>Re-NGS 260153</t>
        </is>
      </c>
      <c r="B153" s="3" t="inlineStr">
        <is>
          <t>Symbiont Life Sciences</t>
        </is>
      </c>
      <c r="C153" s="3" t="inlineStr">
        <is>
          <t>0</t>
        </is>
      </c>
      <c r="D153" s="3" t="inlineStr">
        <is>
          <t>0</t>
        </is>
      </c>
      <c r="E153" s="3" t="inlineStr"/>
      <c r="F153" s="3" t="n">
        <v>0</v>
      </c>
      <c r="G153" s="3" t="n">
        <v>0</v>
      </c>
      <c r="H153" s="3" t="n">
        <v>-92040</v>
      </c>
      <c r="I153" s="4" t="n">
        <v>25569</v>
      </c>
      <c r="J153" s="3" t="n">
        <v>-30</v>
      </c>
    </row>
    <row r="154">
      <c r="A154" s="3" t="inlineStr">
        <is>
          <t>Re-NGS 260154</t>
        </is>
      </c>
      <c r="B154" s="3" t="inlineStr">
        <is>
          <t>Symbiont Life Sciences</t>
        </is>
      </c>
      <c r="C154" s="3" t="inlineStr">
        <is>
          <t>0</t>
        </is>
      </c>
      <c r="D154" s="3" t="inlineStr">
        <is>
          <t>0</t>
        </is>
      </c>
      <c r="E154" s="3" t="inlineStr"/>
      <c r="F154" s="3" t="n">
        <v>0</v>
      </c>
      <c r="G154" s="3" t="n">
        <v>0</v>
      </c>
      <c r="H154" s="3" t="n">
        <v>-61360</v>
      </c>
      <c r="I154" s="4" t="n">
        <v>25569</v>
      </c>
      <c r="J154" s="3" t="n">
        <v>-30</v>
      </c>
    </row>
    <row r="155">
      <c r="A155" s="3" t="inlineStr">
        <is>
          <t>NGS 260155</t>
        </is>
      </c>
      <c r="B155" s="3" t="inlineStr">
        <is>
          <t>Symbiont Life Sciences</t>
        </is>
      </c>
      <c r="C155" s="3" t="inlineStr">
        <is>
          <t>Project Closure</t>
        </is>
      </c>
      <c r="D155" s="3" t="inlineStr">
        <is>
          <t>0</t>
        </is>
      </c>
      <c r="E155" s="3" t="inlineStr"/>
      <c r="F155" s="3" t="n">
        <v>0</v>
      </c>
      <c r="G155" s="3" t="n">
        <v>0</v>
      </c>
      <c r="H155" s="3" t="n">
        <v>-10620</v>
      </c>
      <c r="I155" s="4" t="n">
        <v>25569</v>
      </c>
      <c r="J155" s="3" t="n">
        <v>-30</v>
      </c>
    </row>
    <row r="156">
      <c r="A156" s="3" t="inlineStr">
        <is>
          <t>NGS 260156</t>
        </is>
      </c>
      <c r="B156" s="3" t="inlineStr">
        <is>
          <t>Xploregen Discoveries Pvt. Ltd</t>
        </is>
      </c>
      <c r="C156" s="3" t="inlineStr">
        <is>
          <t>Project Closure</t>
        </is>
      </c>
      <c r="D156" s="3" t="inlineStr">
        <is>
          <t>0</t>
        </is>
      </c>
      <c r="E156" s="3" t="inlineStr"/>
      <c r="F156" s="3" t="n">
        <v>46219</v>
      </c>
      <c r="G156" s="3" t="n">
        <v>0</v>
      </c>
      <c r="H156" s="3" t="n">
        <v>-1062</v>
      </c>
      <c r="I156" s="4" t="n">
        <v>25569</v>
      </c>
      <c r="J156" s="3" t="n">
        <v>46189</v>
      </c>
    </row>
    <row r="157">
      <c r="A157" s="3" t="inlineStr">
        <is>
          <t>NGS 260157</t>
        </is>
      </c>
      <c r="B157" s="3" t="inlineStr">
        <is>
          <t>Aiims - Delhi</t>
        </is>
      </c>
      <c r="C157" s="3" t="inlineStr">
        <is>
          <t>Project Closure</t>
        </is>
      </c>
      <c r="D157" s="3" t="inlineStr">
        <is>
          <t>0</t>
        </is>
      </c>
      <c r="E157" s="3" t="inlineStr"/>
      <c r="F157" s="3" t="n">
        <v>46219</v>
      </c>
      <c r="G157" s="3" t="n">
        <v>0</v>
      </c>
      <c r="H157" s="3" t="n">
        <v>-233640</v>
      </c>
      <c r="I157" s="4" t="n">
        <v>25569</v>
      </c>
      <c r="J157" s="3" t="n">
        <v>46189</v>
      </c>
    </row>
    <row r="158">
      <c r="A158" s="3" t="inlineStr">
        <is>
          <t>NGS 260158</t>
        </is>
      </c>
      <c r="B158" s="3" t="inlineStr">
        <is>
          <t>Aiims - Delhi</t>
        </is>
      </c>
      <c r="C158" s="3" t="inlineStr">
        <is>
          <t>Project Closure</t>
        </is>
      </c>
      <c r="D158" s="3" t="inlineStr">
        <is>
          <t>0</t>
        </is>
      </c>
      <c r="E158" s="3" t="inlineStr"/>
      <c r="F158" s="3" t="n">
        <v>46219</v>
      </c>
      <c r="G158" s="3" t="n">
        <v>0</v>
      </c>
      <c r="H158" s="3" t="n">
        <v>-44840</v>
      </c>
      <c r="I158" s="4" t="n">
        <v>25569</v>
      </c>
      <c r="J158" s="3" t="n">
        <v>46189</v>
      </c>
    </row>
    <row r="159">
      <c r="A159" s="3" t="inlineStr">
        <is>
          <t>NGS 260159</t>
        </is>
      </c>
      <c r="B159" s="3" t="inlineStr">
        <is>
          <t>Cmc Vellore</t>
        </is>
      </c>
      <c r="C159" s="3" t="inlineStr">
        <is>
          <t>Project Closure</t>
        </is>
      </c>
      <c r="D159" s="3" t="inlineStr">
        <is>
          <t>UPL/GEN/2627/33</t>
        </is>
      </c>
      <c r="E159" s="4" t="n">
        <v>46168</v>
      </c>
      <c r="F159" s="3" t="n">
        <v>51</v>
      </c>
      <c r="G159" s="3" t="n">
        <v>0</v>
      </c>
      <c r="H159" s="3" t="n">
        <v>-629648</v>
      </c>
      <c r="I159" s="4" t="n">
        <v>25569</v>
      </c>
      <c r="J159" s="3" t="n">
        <v>21</v>
      </c>
    </row>
    <row r="160">
      <c r="A160" s="3" t="inlineStr">
        <is>
          <t>NGS 260160</t>
        </is>
      </c>
      <c r="B160" s="3" t="inlineStr">
        <is>
          <t>Genexplore Diagnostics</t>
        </is>
      </c>
      <c r="C160" s="3" t="inlineStr">
        <is>
          <t>Project Closure</t>
        </is>
      </c>
      <c r="D160" s="3" t="inlineStr">
        <is>
          <t>UPL/GEN/2627/66</t>
        </is>
      </c>
      <c r="E160" s="4" t="n">
        <v>46213</v>
      </c>
      <c r="F160" s="3" t="n">
        <v>0</v>
      </c>
      <c r="G160" s="3" t="n">
        <v>208270</v>
      </c>
      <c r="H160" s="3" t="n">
        <v>0</v>
      </c>
      <c r="I160" s="4" t="n">
        <v>25569</v>
      </c>
      <c r="J160" s="3" t="n">
        <v>-30</v>
      </c>
    </row>
    <row r="161">
      <c r="A161" s="3" t="inlineStr">
        <is>
          <t>NGS 260161</t>
        </is>
      </c>
      <c r="B161" s="3" t="inlineStr">
        <is>
          <t>Symbiont Life Sciences</t>
        </is>
      </c>
      <c r="C161" s="3" t="inlineStr">
        <is>
          <t>Project Closure</t>
        </is>
      </c>
      <c r="D161" s="3" t="inlineStr">
        <is>
          <t>0</t>
        </is>
      </c>
      <c r="E161" s="3" t="inlineStr"/>
      <c r="F161" s="3" t="n">
        <v>0</v>
      </c>
      <c r="G161" s="3" t="n">
        <v>0</v>
      </c>
      <c r="H161" s="3" t="n">
        <v>-21240</v>
      </c>
      <c r="I161" s="4" t="n">
        <v>25569</v>
      </c>
      <c r="J161" s="3" t="n">
        <v>-30</v>
      </c>
    </row>
    <row r="162">
      <c r="A162" s="3" t="inlineStr">
        <is>
          <t>NGS 260162</t>
        </is>
      </c>
      <c r="B162" s="3" t="inlineStr">
        <is>
          <t>Symbiont Life Sciences</t>
        </is>
      </c>
      <c r="C162" s="3" t="inlineStr">
        <is>
          <t>Project Closure</t>
        </is>
      </c>
      <c r="D162" s="3" t="inlineStr">
        <is>
          <t>0</t>
        </is>
      </c>
      <c r="E162" s="3" t="inlineStr"/>
      <c r="F162" s="3" t="n">
        <v>0</v>
      </c>
      <c r="G162" s="3" t="n">
        <v>0</v>
      </c>
      <c r="H162" s="3" t="n">
        <v>-17700</v>
      </c>
      <c r="I162" s="4" t="n">
        <v>25569</v>
      </c>
      <c r="J162" s="3" t="n">
        <v>-30</v>
      </c>
    </row>
    <row r="163">
      <c r="A163" s="3" t="inlineStr">
        <is>
          <t>NGS 260163</t>
        </is>
      </c>
      <c r="B163" s="3" t="inlineStr">
        <is>
          <t>Symbiont Life Sciences</t>
        </is>
      </c>
      <c r="C163" s="3" t="inlineStr">
        <is>
          <t>Project Closure</t>
        </is>
      </c>
      <c r="D163" s="3" t="inlineStr">
        <is>
          <t>0</t>
        </is>
      </c>
      <c r="E163" s="3" t="inlineStr"/>
      <c r="F163" s="3" t="n">
        <v>0</v>
      </c>
      <c r="G163" s="3" t="n">
        <v>0</v>
      </c>
      <c r="H163" s="3" t="n">
        <v>-14160</v>
      </c>
      <c r="I163" s="4" t="n">
        <v>25569</v>
      </c>
      <c r="J163" s="3" t="n">
        <v>-30</v>
      </c>
    </row>
    <row r="164">
      <c r="A164" s="3" t="inlineStr">
        <is>
          <t>NGS 260164</t>
        </is>
      </c>
      <c r="B164" s="3" t="inlineStr">
        <is>
          <t>Icmr-Rmrcne Dibrugarh</t>
        </is>
      </c>
      <c r="C164" s="3" t="inlineStr">
        <is>
          <t>Sufalam</t>
        </is>
      </c>
      <c r="D164" s="3" t="inlineStr">
        <is>
          <t>0</t>
        </is>
      </c>
      <c r="E164" s="3" t="inlineStr"/>
      <c r="F164" s="3" t="n">
        <v>0</v>
      </c>
      <c r="G164" s="3" t="n">
        <v>0</v>
      </c>
      <c r="H164" s="3" t="n">
        <v>0</v>
      </c>
      <c r="I164" s="4" t="n">
        <v>25569</v>
      </c>
      <c r="J164" s="3" t="n">
        <v>-30</v>
      </c>
    </row>
    <row r="165">
      <c r="A165" s="3" t="inlineStr">
        <is>
          <t>NGS 260165</t>
        </is>
      </c>
      <c r="B165" s="3" t="inlineStr">
        <is>
          <t>Anthropological Survey Of India</t>
        </is>
      </c>
      <c r="C165" s="3" t="inlineStr">
        <is>
          <t>0</t>
        </is>
      </c>
      <c r="D165" s="3" t="inlineStr">
        <is>
          <t>0</t>
        </is>
      </c>
      <c r="E165" s="3" t="inlineStr"/>
      <c r="F165" s="3" t="n">
        <v>0</v>
      </c>
      <c r="G165" s="3" t="n">
        <v>0</v>
      </c>
      <c r="H165" s="3" t="n">
        <v>-508898.6</v>
      </c>
      <c r="I165" s="4" t="n">
        <v>25569</v>
      </c>
      <c r="J165" s="3" t="n">
        <v>-30</v>
      </c>
    </row>
    <row r="166">
      <c r="A166" s="3" t="inlineStr">
        <is>
          <t>NGS 260166</t>
        </is>
      </c>
      <c r="B166" s="3" t="inlineStr">
        <is>
          <t>Symbiont Life Sciences</t>
        </is>
      </c>
      <c r="C166" s="3" t="inlineStr">
        <is>
          <t>Project Closure</t>
        </is>
      </c>
      <c r="D166" s="3" t="inlineStr">
        <is>
          <t>0</t>
        </is>
      </c>
      <c r="E166" s="3" t="inlineStr"/>
      <c r="F166" s="3" t="n">
        <v>0</v>
      </c>
      <c r="G166" s="3" t="n">
        <v>0</v>
      </c>
      <c r="H166" s="3" t="n">
        <v>-28320</v>
      </c>
      <c r="I166" s="4" t="n">
        <v>25569</v>
      </c>
      <c r="J166" s="3" t="n">
        <v>-30</v>
      </c>
    </row>
    <row r="167">
      <c r="A167" s="3" t="inlineStr">
        <is>
          <t>NGS 260167</t>
        </is>
      </c>
      <c r="B167" s="3" t="inlineStr">
        <is>
          <t>Scientific Affairs, Icga Foundation</t>
        </is>
      </c>
      <c r="C167" s="3" t="inlineStr">
        <is>
          <t>0</t>
        </is>
      </c>
      <c r="D167" s="3" t="inlineStr">
        <is>
          <t>0</t>
        </is>
      </c>
      <c r="E167" s="3" t="inlineStr"/>
      <c r="F167" s="3" t="n">
        <v>0</v>
      </c>
      <c r="G167" s="3" t="n">
        <v>0</v>
      </c>
      <c r="H167" s="3" t="n">
        <v>0</v>
      </c>
      <c r="I167" s="4" t="n">
        <v>25569</v>
      </c>
      <c r="J167" s="3" t="n">
        <v>-30</v>
      </c>
    </row>
    <row r="168">
      <c r="A168" s="3" t="inlineStr">
        <is>
          <t>NGS 260168</t>
        </is>
      </c>
      <c r="B168" s="3" t="inlineStr">
        <is>
          <t>Scientific Affairs, Icga Foundation</t>
        </is>
      </c>
      <c r="C168" s="3" t="inlineStr">
        <is>
          <t>0</t>
        </is>
      </c>
      <c r="D168" s="3" t="inlineStr">
        <is>
          <t>0</t>
        </is>
      </c>
      <c r="E168" s="3" t="inlineStr"/>
      <c r="F168" s="3" t="n">
        <v>0</v>
      </c>
      <c r="G168" s="3" t="n">
        <v>0</v>
      </c>
      <c r="H168" s="3" t="n">
        <v>0</v>
      </c>
      <c r="I168" s="4" t="n">
        <v>25569</v>
      </c>
      <c r="J168" s="3" t="n">
        <v>-30</v>
      </c>
    </row>
    <row r="169">
      <c r="A169" s="3" t="inlineStr">
        <is>
          <t>NGS 260169</t>
        </is>
      </c>
      <c r="B169" s="3" t="inlineStr">
        <is>
          <t>Scientific Affairs, Icga Foundation</t>
        </is>
      </c>
      <c r="C169" s="3" t="inlineStr">
        <is>
          <t>0</t>
        </is>
      </c>
      <c r="D169" s="3" t="inlineStr">
        <is>
          <t>0</t>
        </is>
      </c>
      <c r="E169" s="3" t="inlineStr"/>
      <c r="F169" s="3" t="n">
        <v>0</v>
      </c>
      <c r="G169" s="3" t="n">
        <v>0</v>
      </c>
      <c r="H169" s="3" t="n">
        <v>0</v>
      </c>
      <c r="I169" s="4" t="n">
        <v>25569</v>
      </c>
      <c r="J169" s="3" t="n">
        <v>-30</v>
      </c>
    </row>
    <row r="170">
      <c r="A170" s="3" t="inlineStr">
        <is>
          <t>NGS 260170</t>
        </is>
      </c>
      <c r="B170" s="3" t="inlineStr">
        <is>
          <t>Rgcirc</t>
        </is>
      </c>
      <c r="C170" s="3" t="inlineStr">
        <is>
          <t>0</t>
        </is>
      </c>
      <c r="D170" s="3" t="inlineStr">
        <is>
          <t>0</t>
        </is>
      </c>
      <c r="E170" s="3" t="inlineStr"/>
      <c r="F170" s="3" t="n">
        <v>0</v>
      </c>
      <c r="G170" s="3" t="n">
        <v>0</v>
      </c>
      <c r="H170" s="3" t="n">
        <v>-74930</v>
      </c>
      <c r="I170" s="4" t="n">
        <v>25569</v>
      </c>
      <c r="J170" s="3" t="n">
        <v>-30</v>
      </c>
    </row>
    <row r="171">
      <c r="A171" s="3" t="inlineStr">
        <is>
          <t>NGS 260171</t>
        </is>
      </c>
      <c r="B171" s="3" t="inlineStr">
        <is>
          <t>Rgcirc</t>
        </is>
      </c>
      <c r="C171" s="3" t="inlineStr">
        <is>
          <t>Project Closure</t>
        </is>
      </c>
      <c r="D171" s="3" t="inlineStr">
        <is>
          <t>0</t>
        </is>
      </c>
      <c r="E171" s="3" t="inlineStr"/>
      <c r="F171" s="3" t="n">
        <v>0</v>
      </c>
      <c r="G171" s="3" t="n">
        <v>0</v>
      </c>
      <c r="H171" s="3" t="n">
        <v>-188800</v>
      </c>
      <c r="I171" s="4" t="n">
        <v>25569</v>
      </c>
      <c r="J171" s="3" t="n">
        <v>-30</v>
      </c>
    </row>
    <row r="172">
      <c r="A172" s="3" t="inlineStr">
        <is>
          <t>NGS 260172</t>
        </is>
      </c>
      <c r="B172" s="3" t="inlineStr">
        <is>
          <t>Rgcirc</t>
        </is>
      </c>
      <c r="C172" s="3" t="inlineStr">
        <is>
          <t>0</t>
        </is>
      </c>
      <c r="D172" s="3" t="inlineStr">
        <is>
          <t>0</t>
        </is>
      </c>
      <c r="E172" s="3" t="inlineStr"/>
      <c r="F172" s="3" t="n">
        <v>0</v>
      </c>
      <c r="G172" s="3" t="n">
        <v>0</v>
      </c>
      <c r="H172" s="3" t="n">
        <v>0</v>
      </c>
      <c r="I172" s="4" t="n">
        <v>25569</v>
      </c>
      <c r="J172" s="3" t="n">
        <v>-30</v>
      </c>
    </row>
    <row r="173">
      <c r="A173" s="3" t="inlineStr">
        <is>
          <t>NGS 260174</t>
        </is>
      </c>
      <c r="B173" s="3" t="inlineStr">
        <is>
          <t>IIT-D</t>
        </is>
      </c>
      <c r="C173" s="3" t="inlineStr">
        <is>
          <t>0</t>
        </is>
      </c>
      <c r="D173" s="3" t="inlineStr">
        <is>
          <t>0</t>
        </is>
      </c>
      <c r="E173" s="3" t="inlineStr"/>
      <c r="F173" s="3" t="n">
        <v>0</v>
      </c>
      <c r="G173" s="3" t="n">
        <v>0</v>
      </c>
      <c r="H173" s="3" t="n">
        <v>-309750</v>
      </c>
      <c r="I173" s="4" t="n">
        <v>25569</v>
      </c>
      <c r="J173" s="3" t="n">
        <v>-30</v>
      </c>
    </row>
    <row r="174">
      <c r="A174" s="3" t="inlineStr">
        <is>
          <t>NGS 260175</t>
        </is>
      </c>
      <c r="B174" s="3" t="inlineStr">
        <is>
          <t>Jamia Millia Islamia</t>
        </is>
      </c>
      <c r="C174" s="3" t="inlineStr">
        <is>
          <t>0</t>
        </is>
      </c>
      <c r="D174" s="3" t="inlineStr">
        <is>
          <t>0</t>
        </is>
      </c>
      <c r="E174" s="3" t="inlineStr"/>
      <c r="F174" s="3" t="n">
        <v>0</v>
      </c>
      <c r="G174" s="3" t="n">
        <v>0</v>
      </c>
      <c r="H174" s="3" t="n">
        <v>-148680</v>
      </c>
      <c r="I174" s="4" t="n">
        <v>25569</v>
      </c>
      <c r="J174" s="3" t="n">
        <v>-30</v>
      </c>
    </row>
    <row r="175">
      <c r="A175" s="3" t="inlineStr">
        <is>
          <t>NGS 260176</t>
        </is>
      </c>
      <c r="B175" s="3" t="inlineStr">
        <is>
          <t>Symbiont Life Sciences</t>
        </is>
      </c>
      <c r="C175" s="3" t="inlineStr">
        <is>
          <t>Project Closure</t>
        </is>
      </c>
      <c r="D175" s="3" t="inlineStr">
        <is>
          <t>0</t>
        </is>
      </c>
      <c r="E175" s="3" t="inlineStr"/>
      <c r="F175" s="3" t="n">
        <v>0</v>
      </c>
      <c r="G175" s="3" t="n">
        <v>0</v>
      </c>
      <c r="H175" s="3" t="n">
        <v>-56640</v>
      </c>
      <c r="I175" s="4" t="n">
        <v>25569</v>
      </c>
      <c r="J175" s="3" t="n">
        <v>-30</v>
      </c>
    </row>
    <row r="176">
      <c r="A176" s="3" t="inlineStr">
        <is>
          <t>NGS 260177</t>
        </is>
      </c>
      <c r="B176" s="3" t="inlineStr">
        <is>
          <t>Aiims - Delhi</t>
        </is>
      </c>
      <c r="C176" s="3" t="inlineStr">
        <is>
          <t>0</t>
        </is>
      </c>
      <c r="D176" s="3" t="inlineStr">
        <is>
          <t>0</t>
        </is>
      </c>
      <c r="E176" s="3" t="inlineStr"/>
      <c r="F176" s="3" t="n">
        <v>0</v>
      </c>
      <c r="G176" s="3" t="n">
        <v>0</v>
      </c>
      <c r="H176" s="3" t="n">
        <v>-74340</v>
      </c>
      <c r="I176" s="4" t="n">
        <v>25569</v>
      </c>
      <c r="J176" s="3" t="n">
        <v>-30</v>
      </c>
    </row>
    <row r="177">
      <c r="A177" s="3" t="inlineStr">
        <is>
          <t>NGS 260178</t>
        </is>
      </c>
      <c r="B177" s="3" t="inlineStr">
        <is>
          <t>Aiims - Delhi</t>
        </is>
      </c>
      <c r="C177" s="3" t="inlineStr">
        <is>
          <t>0</t>
        </is>
      </c>
      <c r="D177" s="3" t="inlineStr">
        <is>
          <t>0</t>
        </is>
      </c>
      <c r="E177" s="3" t="inlineStr"/>
      <c r="F177" s="3" t="n">
        <v>0</v>
      </c>
      <c r="G177" s="3" t="n">
        <v>0</v>
      </c>
      <c r="H177" s="3" t="n">
        <v>-44840</v>
      </c>
      <c r="I177" s="4" t="n">
        <v>25569</v>
      </c>
      <c r="J177" s="3" t="n">
        <v>-30</v>
      </c>
    </row>
    <row r="178">
      <c r="A178" s="3" t="inlineStr">
        <is>
          <t>NGS 260179</t>
        </is>
      </c>
      <c r="B178" s="3" t="inlineStr">
        <is>
          <t>Biologia Research</t>
        </is>
      </c>
      <c r="C178" s="3" t="inlineStr">
        <is>
          <t>0</t>
        </is>
      </c>
      <c r="D178" s="3" t="inlineStr">
        <is>
          <t>0</t>
        </is>
      </c>
      <c r="E178" s="3" t="inlineStr"/>
      <c r="F178" s="3" t="n">
        <v>0</v>
      </c>
      <c r="G178" s="3" t="n">
        <v>0</v>
      </c>
      <c r="H178" s="3" t="n">
        <v>-163548</v>
      </c>
      <c r="I178" s="4" t="n">
        <v>25569</v>
      </c>
      <c r="J178" s="3" t="n">
        <v>-30</v>
      </c>
    </row>
    <row r="179">
      <c r="A179" s="3" t="inlineStr">
        <is>
          <t>NGS 260180</t>
        </is>
      </c>
      <c r="B179" s="3" t="inlineStr">
        <is>
          <t>Rgcirc, Delhi</t>
        </is>
      </c>
      <c r="C179" s="3" t="inlineStr">
        <is>
          <t>0</t>
        </is>
      </c>
      <c r="D179" s="3" t="inlineStr">
        <is>
          <t>0</t>
        </is>
      </c>
      <c r="E179" s="3" t="inlineStr"/>
      <c r="F179" s="3" t="n">
        <v>0</v>
      </c>
      <c r="G179" s="3" t="n">
        <v>0</v>
      </c>
      <c r="H179" s="3" t="n">
        <v>-428340</v>
      </c>
      <c r="I179" s="4" t="n">
        <v>25569</v>
      </c>
      <c r="J179" s="3" t="n">
        <v>-30</v>
      </c>
    </row>
    <row r="180">
      <c r="A180" s="3" t="inlineStr">
        <is>
          <t>NGS 260181</t>
        </is>
      </c>
      <c r="B180" s="3" t="inlineStr">
        <is>
          <t>Intas Pharmaceuticals</t>
        </is>
      </c>
      <c r="C180" s="3" t="inlineStr">
        <is>
          <t>Project Closure</t>
        </is>
      </c>
      <c r="D180" s="3" t="inlineStr">
        <is>
          <t>0</t>
        </is>
      </c>
      <c r="E180" s="3" t="inlineStr"/>
      <c r="F180" s="3" t="n">
        <v>0</v>
      </c>
      <c r="G180" s="3" t="n">
        <v>0</v>
      </c>
      <c r="H180" s="3" t="n">
        <v>-49560</v>
      </c>
      <c r="I180" s="4" t="n">
        <v>25569</v>
      </c>
      <c r="J180" s="3" t="n">
        <v>-30</v>
      </c>
    </row>
    <row r="181">
      <c r="A181" s="3" t="inlineStr">
        <is>
          <t>NGS 260182</t>
        </is>
      </c>
      <c r="B181" s="3" t="inlineStr">
        <is>
          <t>Symbiont Life Sciences</t>
        </is>
      </c>
      <c r="C181" s="3" t="inlineStr">
        <is>
          <t>Project Closure</t>
        </is>
      </c>
      <c r="D181" s="3" t="inlineStr">
        <is>
          <t>0</t>
        </is>
      </c>
      <c r="E181" s="3" t="inlineStr"/>
      <c r="F181" s="3" t="n">
        <v>0</v>
      </c>
      <c r="G181" s="3" t="n">
        <v>0</v>
      </c>
      <c r="H181" s="3" t="n">
        <v>-30680</v>
      </c>
      <c r="I181" s="4" t="n">
        <v>25569</v>
      </c>
      <c r="J181" s="3" t="n">
        <v>-30</v>
      </c>
    </row>
    <row r="182">
      <c r="A182" s="3" t="inlineStr">
        <is>
          <t>NGS 260183</t>
        </is>
      </c>
      <c r="B182" s="3" t="inlineStr">
        <is>
          <t>Barc</t>
        </is>
      </c>
      <c r="C182" s="3" t="inlineStr">
        <is>
          <t>0</t>
        </is>
      </c>
      <c r="D182" s="3" t="inlineStr">
        <is>
          <t>0</t>
        </is>
      </c>
      <c r="E182" s="3" t="inlineStr"/>
      <c r="F182" s="3" t="n">
        <v>0</v>
      </c>
      <c r="G182" s="3" t="n">
        <v>0</v>
      </c>
      <c r="H182" s="3" t="n">
        <v>0</v>
      </c>
      <c r="I182" s="4" t="n">
        <v>25569</v>
      </c>
      <c r="J182" s="3" t="n">
        <v>-30</v>
      </c>
    </row>
    <row r="183">
      <c r="A183" s="3" t="inlineStr">
        <is>
          <t>NGS 260184</t>
        </is>
      </c>
      <c r="B183" s="3" t="inlineStr">
        <is>
          <t>Barc</t>
        </is>
      </c>
      <c r="C183" s="3" t="inlineStr">
        <is>
          <t>0</t>
        </is>
      </c>
      <c r="D183" s="3" t="inlineStr">
        <is>
          <t>0</t>
        </is>
      </c>
      <c r="E183" s="3" t="inlineStr"/>
      <c r="F183" s="3" t="n">
        <v>0</v>
      </c>
      <c r="G183" s="3" t="n">
        <v>0</v>
      </c>
      <c r="H183" s="3" t="n">
        <v>0</v>
      </c>
      <c r="I183" s="4" t="n">
        <v>25569</v>
      </c>
      <c r="J183" s="3" t="n">
        <v>-30</v>
      </c>
    </row>
    <row r="184">
      <c r="A184" s="3" t="inlineStr">
        <is>
          <t>NGS 260185</t>
        </is>
      </c>
      <c r="B184" s="3" t="inlineStr">
        <is>
          <t>Labdose</t>
        </is>
      </c>
      <c r="C184" s="3" t="inlineStr">
        <is>
          <t>Project Closure</t>
        </is>
      </c>
      <c r="D184" s="3" t="inlineStr">
        <is>
          <t>UPL/GEN/2627/61</t>
        </is>
      </c>
      <c r="E184" s="4" t="n">
        <v>46197</v>
      </c>
      <c r="F184" s="3" t="n">
        <v>22</v>
      </c>
      <c r="G184" s="3" t="n">
        <v>0</v>
      </c>
      <c r="H184" s="3" t="n">
        <v>-29736</v>
      </c>
      <c r="I184" s="4" t="n">
        <v>25569</v>
      </c>
      <c r="J184" s="3" t="n">
        <v>-8</v>
      </c>
    </row>
    <row r="185">
      <c r="A185" s="3" t="inlineStr">
        <is>
          <t>NGS 260186</t>
        </is>
      </c>
      <c r="B185" s="3" t="inlineStr">
        <is>
          <t>Geno Connect Services Private Limited</t>
        </is>
      </c>
      <c r="C185" s="3" t="inlineStr">
        <is>
          <t>0</t>
        </is>
      </c>
      <c r="D185" s="3" t="inlineStr">
        <is>
          <t>0</t>
        </is>
      </c>
      <c r="E185" s="3" t="inlineStr"/>
      <c r="F185" s="3" t="n">
        <v>0</v>
      </c>
      <c r="G185" s="3" t="n">
        <v>0</v>
      </c>
      <c r="H185" s="3" t="n">
        <v>-9440</v>
      </c>
      <c r="I185" s="4" t="n">
        <v>25569</v>
      </c>
      <c r="J185" s="3" t="n">
        <v>-30</v>
      </c>
    </row>
    <row r="186">
      <c r="A186" s="3" t="inlineStr">
        <is>
          <t>NGS 260187</t>
        </is>
      </c>
      <c r="B186" s="3" t="inlineStr">
        <is>
          <t>Symbiont Life Sciences</t>
        </is>
      </c>
      <c r="C186" s="3" t="inlineStr">
        <is>
          <t>Project Closure</t>
        </is>
      </c>
      <c r="D186" s="3" t="inlineStr">
        <is>
          <t>0</t>
        </is>
      </c>
      <c r="E186" s="3" t="inlineStr"/>
      <c r="F186" s="3" t="n">
        <v>0</v>
      </c>
      <c r="G186" s="3" t="n">
        <v>0</v>
      </c>
      <c r="H186" s="3" t="n">
        <v>-21240</v>
      </c>
      <c r="I186" s="4" t="n">
        <v>25569</v>
      </c>
      <c r="J186" s="3" t="n">
        <v>-30</v>
      </c>
    </row>
    <row r="187">
      <c r="A187" s="3" t="inlineStr">
        <is>
          <t>NGS 260188</t>
        </is>
      </c>
      <c r="B187" s="3" t="inlineStr">
        <is>
          <t>Intas Pharmaceuticals</t>
        </is>
      </c>
      <c r="C187" s="3" t="inlineStr">
        <is>
          <t>Project Closure</t>
        </is>
      </c>
      <c r="D187" s="3" t="inlineStr">
        <is>
          <t>0</t>
        </is>
      </c>
      <c r="E187" s="3" t="inlineStr"/>
      <c r="F187" s="3" t="n">
        <v>0</v>
      </c>
      <c r="G187" s="3" t="n">
        <v>0</v>
      </c>
      <c r="H187" s="3" t="n">
        <v>-49560</v>
      </c>
      <c r="I187" s="4" t="n">
        <v>25569</v>
      </c>
      <c r="J187" s="3" t="n">
        <v>-30</v>
      </c>
    </row>
    <row r="188">
      <c r="A188" s="3" t="inlineStr">
        <is>
          <t>NGS 260190</t>
        </is>
      </c>
      <c r="B188" s="3" t="inlineStr">
        <is>
          <t>(Barc), Mumbai</t>
        </is>
      </c>
      <c r="C188" s="3" t="inlineStr">
        <is>
          <t>0</t>
        </is>
      </c>
      <c r="D188" s="3" t="inlineStr">
        <is>
          <t>0</t>
        </is>
      </c>
      <c r="E188" s="3" t="inlineStr"/>
      <c r="F188" s="3" t="n">
        <v>0</v>
      </c>
      <c r="G188" s="3" t="n">
        <v>0</v>
      </c>
      <c r="H188" s="3" t="n">
        <v>-432588</v>
      </c>
      <c r="I188" s="4" t="n">
        <v>25569</v>
      </c>
      <c r="J188" s="3" t="n">
        <v>-30</v>
      </c>
    </row>
    <row r="189">
      <c r="A189" s="3" t="inlineStr">
        <is>
          <t>NGS 260191</t>
        </is>
      </c>
      <c r="B189" s="3" t="inlineStr">
        <is>
          <t>Symbiont Life Sciences</t>
        </is>
      </c>
      <c r="C189" s="3" t="inlineStr">
        <is>
          <t>0</t>
        </is>
      </c>
      <c r="D189" s="3" t="inlineStr">
        <is>
          <t>0</t>
        </is>
      </c>
      <c r="E189" s="3" t="inlineStr"/>
      <c r="F189" s="3" t="n">
        <v>0</v>
      </c>
      <c r="G189" s="3" t="n">
        <v>0</v>
      </c>
      <c r="H189" s="3" t="n">
        <v>0</v>
      </c>
      <c r="I189" s="4" t="n">
        <v>25569</v>
      </c>
      <c r="J189" s="3" t="n">
        <v>-30</v>
      </c>
    </row>
    <row r="190">
      <c r="A190" s="3" t="inlineStr">
        <is>
          <t>NGS 260192</t>
        </is>
      </c>
      <c r="B190" s="3" t="inlineStr">
        <is>
          <t>Symbiont Life Sciences</t>
        </is>
      </c>
      <c r="C190" s="3" t="inlineStr">
        <is>
          <t>0</t>
        </is>
      </c>
      <c r="D190" s="3" t="inlineStr">
        <is>
          <t>0</t>
        </is>
      </c>
      <c r="E190" s="3" t="inlineStr"/>
      <c r="F190" s="3" t="n">
        <v>0</v>
      </c>
      <c r="G190" s="3" t="n">
        <v>0</v>
      </c>
      <c r="H190" s="3" t="n">
        <v>-177000</v>
      </c>
      <c r="I190" s="4" t="n">
        <v>25569</v>
      </c>
      <c r="J190" s="3" t="n">
        <v>-30</v>
      </c>
    </row>
    <row r="191">
      <c r="A191" s="3" t="inlineStr">
        <is>
          <t>NGS 260193</t>
        </is>
      </c>
      <c r="B191" s="3" t="inlineStr">
        <is>
          <t>Symbiont Life Sciences</t>
        </is>
      </c>
      <c r="C191" s="3" t="inlineStr">
        <is>
          <t>0</t>
        </is>
      </c>
      <c r="D191" s="3" t="inlineStr">
        <is>
          <t>0</t>
        </is>
      </c>
      <c r="E191" s="3" t="inlineStr"/>
      <c r="F191" s="3" t="n">
        <v>0</v>
      </c>
      <c r="G191" s="3" t="n">
        <v>0</v>
      </c>
      <c r="H191" s="3" t="n">
        <v>-35400</v>
      </c>
      <c r="I191" s="4" t="n">
        <v>25569</v>
      </c>
      <c r="J191" s="3" t="n">
        <v>-30</v>
      </c>
    </row>
    <row r="192">
      <c r="A192" s="3" t="inlineStr">
        <is>
          <t>NGS 260194</t>
        </is>
      </c>
      <c r="B192" s="3" t="inlineStr">
        <is>
          <t>Symbiont Life Sciences</t>
        </is>
      </c>
      <c r="C192" s="3" t="inlineStr">
        <is>
          <t>0</t>
        </is>
      </c>
      <c r="D192" s="3" t="inlineStr">
        <is>
          <t>0</t>
        </is>
      </c>
      <c r="E192" s="3" t="inlineStr"/>
      <c r="F192" s="3" t="n">
        <v>0</v>
      </c>
      <c r="G192" s="3" t="n">
        <v>0</v>
      </c>
      <c r="H192" s="3" t="n">
        <v>-73160</v>
      </c>
      <c r="I192" s="4" t="n">
        <v>25569</v>
      </c>
      <c r="J192" s="3" t="n">
        <v>-30</v>
      </c>
    </row>
    <row r="193">
      <c r="A193" s="3" t="inlineStr">
        <is>
          <t>NGS 260195</t>
        </is>
      </c>
      <c r="B193" s="3" t="inlineStr">
        <is>
          <t>Symbiont Life Sciences</t>
        </is>
      </c>
      <c r="C193" s="3" t="inlineStr">
        <is>
          <t>0</t>
        </is>
      </c>
      <c r="D193" s="3" t="inlineStr">
        <is>
          <t>0</t>
        </is>
      </c>
      <c r="E193" s="3" t="inlineStr"/>
      <c r="F193" s="3" t="n">
        <v>0</v>
      </c>
      <c r="G193" s="3" t="n">
        <v>0</v>
      </c>
      <c r="H193" s="3" t="n">
        <v>-63720</v>
      </c>
      <c r="I193" s="4" t="n">
        <v>25569</v>
      </c>
      <c r="J193" s="3" t="n">
        <v>-30</v>
      </c>
    </row>
    <row r="194">
      <c r="A194" s="3" t="inlineStr">
        <is>
          <t>NGS 260196</t>
        </is>
      </c>
      <c r="B194" s="3" t="inlineStr">
        <is>
          <t>Tmc-Actrec</t>
        </is>
      </c>
      <c r="C194" s="3" t="inlineStr">
        <is>
          <t>0</t>
        </is>
      </c>
      <c r="D194" s="3" t="inlineStr">
        <is>
          <t>0</t>
        </is>
      </c>
      <c r="E194" s="3" t="inlineStr"/>
      <c r="F194" s="3" t="n">
        <v>0</v>
      </c>
      <c r="G194" s="3" t="n">
        <v>0</v>
      </c>
      <c r="H194" s="3" t="n">
        <v>-880044</v>
      </c>
      <c r="I194" s="4" t="n">
        <v>25569</v>
      </c>
      <c r="J194" s="3" t="n">
        <v>-30</v>
      </c>
    </row>
    <row r="195">
      <c r="A195" s="3" t="inlineStr">
        <is>
          <t>NGS 260197</t>
        </is>
      </c>
      <c r="B195" s="3" t="inlineStr">
        <is>
          <t>Geno Connect Services Private Limited</t>
        </is>
      </c>
      <c r="C195" s="3" t="inlineStr">
        <is>
          <t>0</t>
        </is>
      </c>
      <c r="D195" s="3" t="inlineStr">
        <is>
          <t>0</t>
        </is>
      </c>
      <c r="E195" s="3" t="inlineStr"/>
      <c r="F195" s="3" t="n">
        <v>0</v>
      </c>
      <c r="G195" s="3" t="n">
        <v>0</v>
      </c>
      <c r="H195" s="3" t="n">
        <v>-3540</v>
      </c>
      <c r="I195" s="4" t="n">
        <v>25569</v>
      </c>
      <c r="J195" s="3" t="n">
        <v>-30</v>
      </c>
    </row>
    <row r="196">
      <c r="A196" s="3" t="inlineStr">
        <is>
          <t>NGS 260198</t>
        </is>
      </c>
      <c r="B196" s="3" t="inlineStr">
        <is>
          <t>Zydus Research Centre</t>
        </is>
      </c>
      <c r="C196" s="3" t="inlineStr">
        <is>
          <t>0</t>
        </is>
      </c>
      <c r="D196" s="3" t="inlineStr">
        <is>
          <t>0</t>
        </is>
      </c>
      <c r="E196" s="3" t="inlineStr"/>
      <c r="F196" s="3" t="n">
        <v>0</v>
      </c>
      <c r="G196" s="3" t="n">
        <v>0</v>
      </c>
      <c r="H196" s="3" t="n">
        <v>-212400</v>
      </c>
      <c r="I196" s="4" t="n">
        <v>25569</v>
      </c>
      <c r="J196" s="3" t="n">
        <v>-30</v>
      </c>
    </row>
    <row r="197">
      <c r="A197" s="3" t="inlineStr">
        <is>
          <t>NGS 260199</t>
        </is>
      </c>
      <c r="B197" s="3" t="inlineStr">
        <is>
          <t>Cmc Vellore</t>
        </is>
      </c>
      <c r="C197" s="3" t="inlineStr">
        <is>
          <t>0</t>
        </is>
      </c>
      <c r="D197" s="3" t="inlineStr">
        <is>
          <t>0</t>
        </is>
      </c>
      <c r="E197" s="3" t="inlineStr"/>
      <c r="F197" s="3" t="n">
        <v>0</v>
      </c>
      <c r="G197" s="3" t="n">
        <v>0</v>
      </c>
      <c r="H197" s="3" t="n">
        <v>-849600</v>
      </c>
      <c r="I197" s="4" t="n">
        <v>25569</v>
      </c>
      <c r="J197" s="3" t="n">
        <v>-30</v>
      </c>
    </row>
    <row r="198">
      <c r="A198" s="3" t="inlineStr">
        <is>
          <t>NGS 260200</t>
        </is>
      </c>
      <c r="B198" s="3" t="inlineStr">
        <is>
          <t>Symbiont Life Sciences</t>
        </is>
      </c>
      <c r="C198" s="3" t="inlineStr">
        <is>
          <t>0</t>
        </is>
      </c>
      <c r="D198" s="3" t="inlineStr">
        <is>
          <t>0</t>
        </is>
      </c>
      <c r="E198" s="3" t="inlineStr"/>
      <c r="F198" s="3" t="n">
        <v>0</v>
      </c>
      <c r="G198" s="3" t="n">
        <v>0</v>
      </c>
      <c r="H198" s="3" t="n">
        <v>-42480</v>
      </c>
      <c r="I198" s="4" t="n">
        <v>25569</v>
      </c>
      <c r="J198" s="3" t="n">
        <v>-30</v>
      </c>
    </row>
    <row r="199">
      <c r="A199" s="3" t="inlineStr">
        <is>
          <t>Re-NGS 260201</t>
        </is>
      </c>
      <c r="B199" s="3" t="inlineStr">
        <is>
          <t>Labdose</t>
        </is>
      </c>
      <c r="C199" s="3" t="inlineStr">
        <is>
          <t>0</t>
        </is>
      </c>
      <c r="D199" s="3" t="inlineStr">
        <is>
          <t>0</t>
        </is>
      </c>
      <c r="E199" s="3" t="inlineStr"/>
      <c r="F199" s="3" t="n">
        <v>0</v>
      </c>
      <c r="G199" s="3" t="n">
        <v>0</v>
      </c>
      <c r="H199" s="3" t="n">
        <v>-12980</v>
      </c>
      <c r="I199" s="4" t="n">
        <v>25569</v>
      </c>
      <c r="J199" s="3" t="n">
        <v>-30</v>
      </c>
    </row>
    <row r="200">
      <c r="A200" s="3" t="inlineStr">
        <is>
          <t>NGS 260202</t>
        </is>
      </c>
      <c r="B200" s="3" t="inlineStr">
        <is>
          <t>Assam Agricultural University</t>
        </is>
      </c>
      <c r="C200" s="3" t="inlineStr">
        <is>
          <t>0</t>
        </is>
      </c>
      <c r="D200" s="3" t="inlineStr">
        <is>
          <t>0</t>
        </is>
      </c>
      <c r="E200" s="3" t="inlineStr"/>
      <c r="F200" s="3" t="n">
        <v>0</v>
      </c>
      <c r="G200" s="3" t="n">
        <v>0</v>
      </c>
      <c r="H200" s="3" t="n">
        <v>-24072</v>
      </c>
      <c r="I200" s="4" t="n">
        <v>25569</v>
      </c>
      <c r="J200" s="3" t="n">
        <v>-30</v>
      </c>
    </row>
    <row r="201">
      <c r="A201" s="3" t="inlineStr">
        <is>
          <t>NGS 260203</t>
        </is>
      </c>
      <c r="B201" s="3" t="inlineStr">
        <is>
          <t>Cmc Vellore</t>
        </is>
      </c>
      <c r="C201" s="3" t="inlineStr">
        <is>
          <t>0</t>
        </is>
      </c>
      <c r="D201" s="3" t="inlineStr">
        <is>
          <t>0</t>
        </is>
      </c>
      <c r="E201" s="3" t="inlineStr"/>
      <c r="F201" s="3" t="n">
        <v>0</v>
      </c>
      <c r="G201" s="3" t="n">
        <v>0</v>
      </c>
      <c r="H201" s="3" t="n">
        <v>-841340</v>
      </c>
      <c r="I201" s="4" t="n">
        <v>25569</v>
      </c>
      <c r="J201" s="3" t="n">
        <v>-30</v>
      </c>
    </row>
    <row r="202">
      <c r="A202" s="3" t="inlineStr">
        <is>
          <t>NGS 260204</t>
        </is>
      </c>
      <c r="B202" s="3" t="inlineStr">
        <is>
          <t>Cmc Vellore</t>
        </is>
      </c>
      <c r="C202" s="3" t="inlineStr">
        <is>
          <t>0</t>
        </is>
      </c>
      <c r="D202" s="3" t="inlineStr">
        <is>
          <t>0</t>
        </is>
      </c>
      <c r="E202" s="3" t="inlineStr"/>
      <c r="F202" s="3" t="n">
        <v>0</v>
      </c>
      <c r="G202" s="3" t="n">
        <v>0</v>
      </c>
      <c r="H202" s="3" t="n">
        <v>-82954</v>
      </c>
      <c r="I202" s="4" t="n">
        <v>25569</v>
      </c>
      <c r="J202" s="3" t="n">
        <v>-30</v>
      </c>
    </row>
    <row r="203">
      <c r="A203" s="3" t="inlineStr">
        <is>
          <t>NGS 260205</t>
        </is>
      </c>
      <c r="B203" s="3" t="inlineStr">
        <is>
          <t>Precision Genomics Technologies</t>
        </is>
      </c>
      <c r="C203" s="3" t="inlineStr">
        <is>
          <t>0</t>
        </is>
      </c>
      <c r="D203" s="3" t="inlineStr">
        <is>
          <t>0</t>
        </is>
      </c>
      <c r="E203" s="3" t="inlineStr"/>
      <c r="F203" s="3" t="n">
        <v>0</v>
      </c>
      <c r="G203" s="3" t="n">
        <v>0</v>
      </c>
      <c r="H203" s="3" t="n">
        <v>-10502</v>
      </c>
      <c r="I203" s="4" t="n">
        <v>25569</v>
      </c>
      <c r="J203" s="3" t="n">
        <v>-30</v>
      </c>
    </row>
    <row r="204">
      <c r="A204" s="3" t="inlineStr">
        <is>
          <t>GEM-NGS 260206</t>
        </is>
      </c>
      <c r="B204" s="3" t="inlineStr">
        <is>
          <t>Icmr -Nirt</t>
        </is>
      </c>
      <c r="C204" s="3" t="inlineStr">
        <is>
          <t>0</t>
        </is>
      </c>
      <c r="D204" s="3" t="inlineStr">
        <is>
          <t>0</t>
        </is>
      </c>
      <c r="E204" s="3" t="inlineStr"/>
      <c r="F204" s="3" t="n">
        <v>0</v>
      </c>
      <c r="G204" s="3" t="n">
        <v>0</v>
      </c>
      <c r="H204" s="3" t="n">
        <v>-127440</v>
      </c>
      <c r="I204" s="4" t="n">
        <v>25569</v>
      </c>
      <c r="J204" s="3" t="n">
        <v>-30</v>
      </c>
    </row>
    <row r="205">
      <c r="A205" s="3" t="inlineStr">
        <is>
          <t>GEM-NGS 260207</t>
        </is>
      </c>
      <c r="B205" s="3" t="inlineStr">
        <is>
          <t>Icmr -Nirt</t>
        </is>
      </c>
      <c r="C205" s="3" t="inlineStr">
        <is>
          <t>0</t>
        </is>
      </c>
      <c r="D205" s="3" t="inlineStr">
        <is>
          <t>0</t>
        </is>
      </c>
      <c r="E205" s="3" t="inlineStr"/>
      <c r="F205" s="3" t="n">
        <v>0</v>
      </c>
      <c r="G205" s="3" t="n">
        <v>0</v>
      </c>
      <c r="H205" s="3" t="n">
        <v>0</v>
      </c>
      <c r="I205" s="4" t="n">
        <v>25569</v>
      </c>
      <c r="J205" s="3" t="n">
        <v>-30</v>
      </c>
    </row>
    <row r="206">
      <c r="A206" s="3" t="inlineStr">
        <is>
          <t>NGS 260208</t>
        </is>
      </c>
      <c r="B206" s="3" t="inlineStr">
        <is>
          <t>Drde Gwalior</t>
        </is>
      </c>
      <c r="C206" s="3" t="inlineStr">
        <is>
          <t>0</t>
        </is>
      </c>
      <c r="D206" s="3" t="inlineStr">
        <is>
          <t>0</t>
        </is>
      </c>
      <c r="E206" s="3" t="inlineStr"/>
      <c r="F206" s="3" t="n">
        <v>0</v>
      </c>
      <c r="G206" s="3" t="n">
        <v>0</v>
      </c>
      <c r="H206" s="3" t="n">
        <v>-67260</v>
      </c>
      <c r="I206" s="4" t="n">
        <v>25569</v>
      </c>
      <c r="J206" s="3" t="n">
        <v>-30</v>
      </c>
    </row>
    <row r="207">
      <c r="A207" s="3" t="inlineStr">
        <is>
          <t>NGS 260209</t>
        </is>
      </c>
      <c r="B207" s="3" t="inlineStr">
        <is>
          <t>Cancer Institute Wia</t>
        </is>
      </c>
      <c r="C207" s="3" t="inlineStr">
        <is>
          <t>0</t>
        </is>
      </c>
      <c r="D207" s="3" t="inlineStr">
        <is>
          <t>0</t>
        </is>
      </c>
      <c r="E207" s="3" t="inlineStr"/>
      <c r="F207" s="3" t="n">
        <v>0</v>
      </c>
      <c r="G207" s="3" t="n">
        <v>0</v>
      </c>
      <c r="H207" s="3" t="n">
        <v>-118000</v>
      </c>
      <c r="I207" s="4" t="n">
        <v>25569</v>
      </c>
      <c r="J207" s="3" t="n">
        <v>-30</v>
      </c>
    </row>
    <row r="208">
      <c r="A208" s="3" t="inlineStr">
        <is>
          <t>NGS 260210</t>
        </is>
      </c>
      <c r="B208" s="3" t="inlineStr">
        <is>
          <t>Cancer Institute Wia</t>
        </is>
      </c>
      <c r="C208" s="3" t="inlineStr">
        <is>
          <t>0</t>
        </is>
      </c>
      <c r="D208" s="3" t="inlineStr">
        <is>
          <t>0</t>
        </is>
      </c>
      <c r="E208" s="3" t="inlineStr"/>
      <c r="F208" s="3" t="n">
        <v>0</v>
      </c>
      <c r="G208" s="3" t="n">
        <v>0</v>
      </c>
      <c r="H208" s="3" t="n">
        <v>-247800</v>
      </c>
      <c r="I208" s="4" t="n">
        <v>25569</v>
      </c>
      <c r="J208" s="3" t="n">
        <v>-30</v>
      </c>
    </row>
    <row r="209">
      <c r="A209" s="3" t="inlineStr">
        <is>
          <t>NGS 260211</t>
        </is>
      </c>
      <c r="B209" s="3" t="inlineStr">
        <is>
          <t>Gene Bio Solution</t>
        </is>
      </c>
      <c r="C209" s="3" t="inlineStr">
        <is>
          <t>0</t>
        </is>
      </c>
      <c r="D209" s="3" t="inlineStr">
        <is>
          <t>0</t>
        </is>
      </c>
      <c r="E209" s="3" t="inlineStr"/>
      <c r="F209" s="3" t="n">
        <v>0</v>
      </c>
      <c r="G209" s="3" t="n">
        <v>0</v>
      </c>
      <c r="H209" s="3" t="n">
        <v>-194700</v>
      </c>
      <c r="I209" s="4" t="n">
        <v>25569</v>
      </c>
      <c r="J209" s="3" t="n">
        <v>-30</v>
      </c>
    </row>
    <row r="210">
      <c r="A210" s="3" t="inlineStr">
        <is>
          <t>NGS 260212</t>
        </is>
      </c>
      <c r="B210" s="3" t="inlineStr">
        <is>
          <t>Geno Connect Services Private Limited</t>
        </is>
      </c>
      <c r="C210" s="3" t="inlineStr">
        <is>
          <t>0</t>
        </is>
      </c>
      <c r="D210" s="3" t="inlineStr">
        <is>
          <t>0</t>
        </is>
      </c>
      <c r="E210" s="3" t="inlineStr"/>
      <c r="F210" s="3" t="n">
        <v>0</v>
      </c>
      <c r="G210" s="3" t="n">
        <v>0</v>
      </c>
      <c r="H210" s="3" t="n">
        <v>-9440</v>
      </c>
      <c r="I210" s="4" t="n">
        <v>25569</v>
      </c>
      <c r="J210" s="3" t="n">
        <v>-30</v>
      </c>
    </row>
    <row r="211">
      <c r="A211" s="3" t="inlineStr">
        <is>
          <t>NGS 260213</t>
        </is>
      </c>
      <c r="B211" s="3" t="inlineStr">
        <is>
          <t>Symbiont Life Sciences</t>
        </is>
      </c>
      <c r="C211" s="3" t="inlineStr">
        <is>
          <t>0</t>
        </is>
      </c>
      <c r="D211" s="3" t="inlineStr">
        <is>
          <t>0</t>
        </is>
      </c>
      <c r="E211" s="3" t="inlineStr"/>
      <c r="F211" s="3" t="n">
        <v>0</v>
      </c>
      <c r="G211" s="3" t="n">
        <v>0</v>
      </c>
      <c r="H211" s="3" t="n">
        <v>0</v>
      </c>
      <c r="I211" s="4" t="n">
        <v>25569</v>
      </c>
      <c r="J211" s="3" t="n">
        <v>-30</v>
      </c>
    </row>
    <row r="212">
      <c r="A212" s="3" t="inlineStr">
        <is>
          <t>NGS 260214</t>
        </is>
      </c>
      <c r="B212" s="3" t="inlineStr">
        <is>
          <t>Geno Connect Services Private Limited</t>
        </is>
      </c>
      <c r="C212" s="3" t="inlineStr">
        <is>
          <t>0</t>
        </is>
      </c>
      <c r="D212" s="3" t="inlineStr">
        <is>
          <t>0</t>
        </is>
      </c>
      <c r="E212" s="3" t="inlineStr"/>
      <c r="F212" s="3" t="n">
        <v>0</v>
      </c>
      <c r="G212" s="3" t="n">
        <v>0</v>
      </c>
      <c r="H212" s="3" t="n">
        <v>-9440</v>
      </c>
      <c r="I212" s="4" t="n">
        <v>25569</v>
      </c>
      <c r="J212" s="3" t="n">
        <v>-30</v>
      </c>
    </row>
    <row r="213">
      <c r="A213" s="3" t="inlineStr">
        <is>
          <t>NGS 260215</t>
        </is>
      </c>
      <c r="B213" s="3" t="inlineStr">
        <is>
          <t>Iiser Tvm</t>
        </is>
      </c>
      <c r="C213" s="3" t="inlineStr">
        <is>
          <t>0</t>
        </is>
      </c>
      <c r="D213" s="3" t="inlineStr">
        <is>
          <t>0</t>
        </is>
      </c>
      <c r="E213" s="3" t="inlineStr"/>
      <c r="F213" s="3" t="n">
        <v>0</v>
      </c>
      <c r="G213" s="3" t="n">
        <v>0</v>
      </c>
      <c r="H213" s="3" t="n">
        <v>-122720</v>
      </c>
      <c r="I213" s="4" t="n">
        <v>25569</v>
      </c>
      <c r="J213" s="3" t="n">
        <v>-30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1" customWidth="1" min="3" max="3"/>
    <col width="26" customWidth="1" min="4" max="4"/>
    <col width="19" customWidth="1" min="5" max="5"/>
    <col width="15" customWidth="1" min="6" max="6"/>
    <col width="17" customWidth="1" min="7" max="7"/>
  </cols>
  <sheetData>
    <row r="1">
      <c r="A1" s="2" t="inlineStr">
        <is>
          <t>PROJECT ID</t>
        </is>
      </c>
      <c r="B1" s="2" t="inlineStr">
        <is>
          <t>With/Without Analysis</t>
        </is>
      </c>
      <c r="C1" s="2" t="inlineStr">
        <is>
          <t>Raw Data Sent Date</t>
        </is>
      </c>
      <c r="D1" s="2" t="inlineStr">
        <is>
          <t>Final Data Received Date</t>
        </is>
      </c>
      <c r="E1" s="2" t="inlineStr">
        <is>
          <t>Remark</t>
        </is>
      </c>
      <c r="F1" s="2" t="inlineStr">
        <is>
          <t>Raw Data Days</t>
        </is>
      </c>
      <c r="G1" s="2" t="inlineStr">
        <is>
          <t>Final Data Days</t>
        </is>
      </c>
    </row>
    <row r="2">
      <c r="A2" s="3" t="inlineStr">
        <is>
          <t>NGS 26001</t>
        </is>
      </c>
      <c r="B2" s="3" t="inlineStr">
        <is>
          <t>Without Analysis</t>
        </is>
      </c>
      <c r="C2" s="4" t="n">
        <v>46065</v>
      </c>
      <c r="D2" s="3" t="inlineStr"/>
      <c r="E2" s="3" t="inlineStr">
        <is>
          <t>Project Closure</t>
        </is>
      </c>
      <c r="F2" s="3" t="n">
        <v>154</v>
      </c>
      <c r="G2" s="3" t="n">
        <v>46219</v>
      </c>
    </row>
    <row r="3">
      <c r="A3" s="3" t="inlineStr">
        <is>
          <t>NGS 26002</t>
        </is>
      </c>
      <c r="B3" s="3" t="inlineStr">
        <is>
          <t>Without Analysis</t>
        </is>
      </c>
      <c r="C3" s="4" t="n">
        <v>46065</v>
      </c>
      <c r="D3" s="3" t="inlineStr"/>
      <c r="E3" s="3" t="inlineStr">
        <is>
          <t>Project Closure</t>
        </is>
      </c>
      <c r="F3" s="3" t="n">
        <v>154</v>
      </c>
      <c r="G3" s="3" t="n">
        <v>46219</v>
      </c>
    </row>
    <row r="4">
      <c r="A4" s="3" t="inlineStr">
        <is>
          <t>NGS 26003</t>
        </is>
      </c>
      <c r="B4" s="3" t="inlineStr">
        <is>
          <t>Without Analysis</t>
        </is>
      </c>
      <c r="C4" s="4" t="n">
        <v>46065</v>
      </c>
      <c r="D4" s="3" t="inlineStr"/>
      <c r="E4" s="3" t="inlineStr">
        <is>
          <t>Project Closure</t>
        </is>
      </c>
      <c r="F4" s="3" t="n">
        <v>154</v>
      </c>
      <c r="G4" s="3" t="n">
        <v>46219</v>
      </c>
    </row>
    <row r="5">
      <c r="A5" s="3" t="inlineStr">
        <is>
          <t>NGS 26004</t>
        </is>
      </c>
      <c r="B5" s="3" t="inlineStr">
        <is>
          <t>With Analysis</t>
        </is>
      </c>
      <c r="C5" s="3" t="inlineStr"/>
      <c r="D5" s="3" t="inlineStr"/>
      <c r="E5" s="3" t="inlineStr">
        <is>
          <t>QC Fail</t>
        </is>
      </c>
      <c r="F5" s="3" t="n">
        <v>46219</v>
      </c>
      <c r="G5" s="3" t="n">
        <v>46219</v>
      </c>
    </row>
    <row r="6">
      <c r="A6" s="3" t="inlineStr">
        <is>
          <t>NGS 26005</t>
        </is>
      </c>
      <c r="B6" s="3" t="inlineStr">
        <is>
          <t>With Analysis</t>
        </is>
      </c>
      <c r="C6" s="3" t="inlineStr"/>
      <c r="D6" s="3" t="inlineStr"/>
      <c r="E6" s="3" t="inlineStr">
        <is>
          <t>QC Fail</t>
        </is>
      </c>
      <c r="F6" s="3" t="n">
        <v>46219</v>
      </c>
      <c r="G6" s="3" t="n">
        <v>46219</v>
      </c>
    </row>
    <row r="7">
      <c r="A7" s="3" t="inlineStr">
        <is>
          <t>NGS 26006</t>
        </is>
      </c>
      <c r="B7" s="3" t="inlineStr">
        <is>
          <t>With Analysis</t>
        </is>
      </c>
      <c r="C7" s="3" t="inlineStr"/>
      <c r="D7" s="3" t="inlineStr"/>
      <c r="E7" s="3" t="inlineStr">
        <is>
          <t>QC Fail</t>
        </is>
      </c>
      <c r="F7" s="3" t="n">
        <v>46219</v>
      </c>
      <c r="G7" s="3" t="n">
        <v>46219</v>
      </c>
    </row>
    <row r="8">
      <c r="A8" s="3" t="inlineStr">
        <is>
          <t>NGS 26007</t>
        </is>
      </c>
      <c r="B8" s="3" t="inlineStr">
        <is>
          <t>With Analysis</t>
        </is>
      </c>
      <c r="C8" s="3" t="inlineStr"/>
      <c r="D8" s="4" t="n">
        <v>46080</v>
      </c>
      <c r="E8" s="3" t="inlineStr">
        <is>
          <t>Project Closure</t>
        </is>
      </c>
      <c r="F8" s="3" t="n">
        <v>46219</v>
      </c>
      <c r="G8" s="3" t="n">
        <v>139</v>
      </c>
    </row>
    <row r="9">
      <c r="A9" s="3" t="inlineStr">
        <is>
          <t>NGS 26008</t>
        </is>
      </c>
      <c r="B9" s="3" t="inlineStr">
        <is>
          <t>With Analysis</t>
        </is>
      </c>
      <c r="C9" s="3" t="inlineStr"/>
      <c r="D9" s="4" t="n">
        <v>46073</v>
      </c>
      <c r="E9" s="3" t="inlineStr">
        <is>
          <t>Project Closure</t>
        </is>
      </c>
      <c r="F9" s="3" t="n">
        <v>46219</v>
      </c>
      <c r="G9" s="3" t="n">
        <v>146</v>
      </c>
    </row>
    <row r="10">
      <c r="A10" s="3" t="inlineStr">
        <is>
          <t>NGS 260009</t>
        </is>
      </c>
      <c r="B10" s="3" t="inlineStr">
        <is>
          <t>With Analysis</t>
        </is>
      </c>
      <c r="C10" s="3" t="inlineStr"/>
      <c r="D10" s="4" t="n">
        <v>46231</v>
      </c>
      <c r="E10" s="3" t="inlineStr">
        <is>
          <t>0</t>
        </is>
      </c>
      <c r="F10" s="3" t="n">
        <v>46219</v>
      </c>
      <c r="G10" s="3" t="n">
        <v>46219</v>
      </c>
    </row>
    <row r="11">
      <c r="A11" s="3" t="inlineStr">
        <is>
          <t>NGS 260010</t>
        </is>
      </c>
      <c r="B11" s="3" t="inlineStr">
        <is>
          <t>With Analysis</t>
        </is>
      </c>
      <c r="C11" s="3" t="inlineStr"/>
      <c r="D11" s="4" t="n">
        <v>46231</v>
      </c>
      <c r="E11" s="3" t="inlineStr">
        <is>
          <t>0</t>
        </is>
      </c>
      <c r="F11" s="3" t="n">
        <v>46219</v>
      </c>
      <c r="G11" s="3" t="n">
        <v>46219</v>
      </c>
    </row>
    <row r="12">
      <c r="A12" s="3" t="inlineStr">
        <is>
          <t>NGS 26011</t>
        </is>
      </c>
      <c r="B12" s="3" t="inlineStr">
        <is>
          <t>Without Analysis</t>
        </is>
      </c>
      <c r="C12" s="4" t="n">
        <v>46057</v>
      </c>
      <c r="D12" s="4" t="n">
        <v>46231</v>
      </c>
      <c r="E12" s="3" t="inlineStr">
        <is>
          <t>Project Closure</t>
        </is>
      </c>
      <c r="F12" s="3" t="n">
        <v>162</v>
      </c>
      <c r="G12" s="3" t="n">
        <v>46219</v>
      </c>
    </row>
    <row r="13">
      <c r="A13" s="3" t="inlineStr">
        <is>
          <t>NGS 26012</t>
        </is>
      </c>
      <c r="B13" s="3" t="inlineStr">
        <is>
          <t>Without Analysis</t>
        </is>
      </c>
      <c r="C13" s="4" t="n">
        <v>46057</v>
      </c>
      <c r="D13" s="4" t="n">
        <v>46231</v>
      </c>
      <c r="E13" s="3" t="inlineStr">
        <is>
          <t>Project Closure</t>
        </is>
      </c>
      <c r="F13" s="3" t="n">
        <v>162</v>
      </c>
      <c r="G13" s="3" t="n">
        <v>46219</v>
      </c>
    </row>
    <row r="14">
      <c r="A14" s="3" t="inlineStr">
        <is>
          <t>NGS 26013</t>
        </is>
      </c>
      <c r="B14" s="3" t="inlineStr">
        <is>
          <t>With Analysis</t>
        </is>
      </c>
      <c r="C14" s="4" t="n">
        <v>46059</v>
      </c>
      <c r="D14" s="4" t="n">
        <v>46106</v>
      </c>
      <c r="E14" s="3" t="inlineStr">
        <is>
          <t>Project Closure</t>
        </is>
      </c>
      <c r="F14" s="3" t="n">
        <v>160</v>
      </c>
      <c r="G14" s="3" t="n">
        <v>113</v>
      </c>
    </row>
    <row r="15">
      <c r="A15" s="3" t="inlineStr">
        <is>
          <t>NGS 260014</t>
        </is>
      </c>
      <c r="B15" s="3" t="inlineStr">
        <is>
          <t>With Analysis</t>
        </is>
      </c>
      <c r="C15" s="3" t="inlineStr"/>
      <c r="D15" s="4" t="n">
        <v>46122</v>
      </c>
      <c r="E15" s="3" t="inlineStr">
        <is>
          <t>Project Closure</t>
        </is>
      </c>
      <c r="F15" s="3" t="n">
        <v>46219</v>
      </c>
      <c r="G15" s="3" t="n">
        <v>97</v>
      </c>
    </row>
    <row r="16">
      <c r="A16" s="3" t="inlineStr">
        <is>
          <t>NGS 260015</t>
        </is>
      </c>
      <c r="B16" s="3" t="inlineStr">
        <is>
          <t>Without Analysis</t>
        </is>
      </c>
      <c r="C16" s="4" t="n">
        <v>46094</v>
      </c>
      <c r="D16" s="4" t="n">
        <v>46231</v>
      </c>
      <c r="E16" s="3" t="inlineStr">
        <is>
          <t>Project Closure</t>
        </is>
      </c>
      <c r="F16" s="3" t="n">
        <v>125</v>
      </c>
      <c r="G16" s="3" t="n">
        <v>46219</v>
      </c>
    </row>
    <row r="17">
      <c r="A17" s="3" t="inlineStr">
        <is>
          <t>NGS 260016</t>
        </is>
      </c>
      <c r="B17" s="3" t="inlineStr">
        <is>
          <t>Without Analysis</t>
        </is>
      </c>
      <c r="C17" s="4" t="n">
        <v>46060</v>
      </c>
      <c r="D17" s="4" t="n">
        <v>46231</v>
      </c>
      <c r="E17" s="3" t="inlineStr">
        <is>
          <t>Project Closure</t>
        </is>
      </c>
      <c r="F17" s="3" t="n">
        <v>159</v>
      </c>
      <c r="G17" s="3" t="n">
        <v>46219</v>
      </c>
    </row>
    <row r="18">
      <c r="A18" s="3" t="inlineStr">
        <is>
          <t>NGS 260017</t>
        </is>
      </c>
      <c r="B18" s="3" t="inlineStr">
        <is>
          <t>0</t>
        </is>
      </c>
      <c r="C18" s="3" t="inlineStr"/>
      <c r="D18" s="4" t="n">
        <v>46231</v>
      </c>
      <c r="E18" s="3" t="inlineStr">
        <is>
          <t>QC Fail</t>
        </is>
      </c>
      <c r="F18" s="3" t="n">
        <v>46219</v>
      </c>
      <c r="G18" s="3" t="n">
        <v>46219</v>
      </c>
    </row>
    <row r="19">
      <c r="A19" s="3" t="inlineStr">
        <is>
          <t>NGS 260018</t>
        </is>
      </c>
      <c r="B19" s="3" t="inlineStr">
        <is>
          <t>With Analysis</t>
        </is>
      </c>
      <c r="C19" s="3" t="inlineStr"/>
      <c r="D19" s="4" t="n">
        <v>46085</v>
      </c>
      <c r="E19" s="3" t="inlineStr">
        <is>
          <t>Project Closure</t>
        </is>
      </c>
      <c r="F19" s="3" t="n">
        <v>46219</v>
      </c>
      <c r="G19" s="3" t="n">
        <v>134</v>
      </c>
    </row>
    <row r="20">
      <c r="A20" s="3" t="inlineStr">
        <is>
          <t>NGS 260019</t>
        </is>
      </c>
      <c r="B20" s="3" t="inlineStr">
        <is>
          <t>With Analysis</t>
        </is>
      </c>
      <c r="C20" s="3" t="inlineStr"/>
      <c r="D20" s="4" t="n">
        <v>46231</v>
      </c>
      <c r="E20" s="3" t="inlineStr">
        <is>
          <t>0</t>
        </is>
      </c>
      <c r="F20" s="3" t="n">
        <v>46219</v>
      </c>
      <c r="G20" s="3" t="n">
        <v>46219</v>
      </c>
    </row>
    <row r="21">
      <c r="A21" s="3" t="inlineStr">
        <is>
          <t>NGS 260020</t>
        </is>
      </c>
      <c r="B21" s="3" t="inlineStr">
        <is>
          <t>With Analysis</t>
        </is>
      </c>
      <c r="C21" s="3" t="inlineStr"/>
      <c r="D21" s="4" t="n">
        <v>46120</v>
      </c>
      <c r="E21" s="3" t="inlineStr">
        <is>
          <t>Project Closure</t>
        </is>
      </c>
      <c r="F21" s="3" t="n">
        <v>46219</v>
      </c>
      <c r="G21" s="3" t="n">
        <v>99</v>
      </c>
    </row>
    <row r="22">
      <c r="A22" s="3" t="inlineStr">
        <is>
          <t>NGS 260021</t>
        </is>
      </c>
      <c r="B22" s="3" t="inlineStr">
        <is>
          <t>Without Analysis</t>
        </is>
      </c>
      <c r="C22" s="4" t="n">
        <v>46071</v>
      </c>
      <c r="D22" s="4" t="n">
        <v>46231</v>
      </c>
      <c r="E22" s="3" t="inlineStr">
        <is>
          <t>Project Closure</t>
        </is>
      </c>
      <c r="F22" s="3" t="n">
        <v>148</v>
      </c>
      <c r="G22" s="3" t="n">
        <v>46219</v>
      </c>
    </row>
    <row r="23">
      <c r="A23" s="3" t="inlineStr">
        <is>
          <t>NGS 260022</t>
        </is>
      </c>
      <c r="B23" s="3" t="inlineStr">
        <is>
          <t>With Analysis</t>
        </is>
      </c>
      <c r="C23" s="3" t="inlineStr"/>
      <c r="D23" s="4" t="n">
        <v>46063</v>
      </c>
      <c r="E23" s="3" t="inlineStr">
        <is>
          <t>Project Closure</t>
        </is>
      </c>
      <c r="F23" s="3" t="n">
        <v>46219</v>
      </c>
      <c r="G23" s="3" t="n">
        <v>156</v>
      </c>
    </row>
    <row r="24">
      <c r="A24" s="3" t="inlineStr">
        <is>
          <t>NGS 260023</t>
        </is>
      </c>
      <c r="B24" s="3" t="inlineStr">
        <is>
          <t>Without Analysis</t>
        </is>
      </c>
      <c r="C24" s="4" t="n">
        <v>46081</v>
      </c>
      <c r="D24" s="4" t="n">
        <v>46231</v>
      </c>
      <c r="E24" s="3" t="inlineStr">
        <is>
          <t>Project Closure</t>
        </is>
      </c>
      <c r="F24" s="3" t="n">
        <v>138</v>
      </c>
      <c r="G24" s="3" t="n">
        <v>46219</v>
      </c>
    </row>
    <row r="25">
      <c r="A25" s="3" t="inlineStr">
        <is>
          <t>NGS 260024</t>
        </is>
      </c>
      <c r="B25" s="3" t="inlineStr">
        <is>
          <t>Without Analysis</t>
        </is>
      </c>
      <c r="C25" s="3" t="inlineStr"/>
      <c r="D25" s="4" t="n">
        <v>46231</v>
      </c>
      <c r="E25" s="3" t="inlineStr">
        <is>
          <t>Project Closure</t>
        </is>
      </c>
      <c r="F25" s="3" t="n">
        <v>46219</v>
      </c>
      <c r="G25" s="3" t="n">
        <v>46219</v>
      </c>
    </row>
    <row r="26">
      <c r="A26" s="3" t="inlineStr">
        <is>
          <t>NGS 260025</t>
        </is>
      </c>
      <c r="B26" s="3" t="inlineStr">
        <is>
          <t>With Analysis</t>
        </is>
      </c>
      <c r="C26" s="3" t="inlineStr"/>
      <c r="D26" s="4" t="n">
        <v>46121</v>
      </c>
      <c r="E26" s="3" t="inlineStr">
        <is>
          <t>Project Closure</t>
        </is>
      </c>
      <c r="F26" s="3" t="n">
        <v>46219</v>
      </c>
      <c r="G26" s="3" t="n">
        <v>98</v>
      </c>
    </row>
    <row r="27">
      <c r="A27" s="3" t="inlineStr">
        <is>
          <t>NGS 260026</t>
        </is>
      </c>
      <c r="B27" s="3" t="inlineStr">
        <is>
          <t>With Analysis</t>
        </is>
      </c>
      <c r="C27" s="3" t="inlineStr"/>
      <c r="D27" s="4" t="n">
        <v>46160</v>
      </c>
      <c r="E27" s="3" t="inlineStr">
        <is>
          <t>Project Closure</t>
        </is>
      </c>
      <c r="F27" s="3" t="n">
        <v>46219</v>
      </c>
      <c r="G27" s="3" t="n">
        <v>59</v>
      </c>
    </row>
    <row r="28">
      <c r="A28" s="3" t="inlineStr">
        <is>
          <t>NGS 260028</t>
        </is>
      </c>
      <c r="B28" s="3" t="inlineStr">
        <is>
          <t>Without Analysis</t>
        </is>
      </c>
      <c r="C28" s="4" t="n">
        <v>46055</v>
      </c>
      <c r="D28" s="4" t="n">
        <v>46231</v>
      </c>
      <c r="E28" s="3" t="inlineStr">
        <is>
          <t>Project Closure</t>
        </is>
      </c>
      <c r="F28" s="3" t="n">
        <v>164</v>
      </c>
      <c r="G28" s="3" t="n">
        <v>46219</v>
      </c>
    </row>
    <row r="29">
      <c r="A29" s="3" t="inlineStr">
        <is>
          <t>NGS 260029</t>
        </is>
      </c>
      <c r="B29" s="3" t="inlineStr">
        <is>
          <t>With Analysis</t>
        </is>
      </c>
      <c r="C29" s="3" t="inlineStr"/>
      <c r="D29" s="4" t="n">
        <v>46126</v>
      </c>
      <c r="E29" s="3" t="inlineStr">
        <is>
          <t>Project Closure</t>
        </is>
      </c>
      <c r="F29" s="3" t="n">
        <v>46219</v>
      </c>
      <c r="G29" s="3" t="n">
        <v>93</v>
      </c>
    </row>
    <row r="30">
      <c r="A30" s="3" t="inlineStr">
        <is>
          <t>NGS 260030</t>
        </is>
      </c>
      <c r="B30" s="3" t="inlineStr">
        <is>
          <t>With Analysis</t>
        </is>
      </c>
      <c r="C30" s="3" t="inlineStr"/>
      <c r="D30" s="4" t="n">
        <v>46231</v>
      </c>
      <c r="E30" s="3" t="inlineStr">
        <is>
          <t>0</t>
        </is>
      </c>
      <c r="F30" s="3" t="n">
        <v>46219</v>
      </c>
      <c r="G30" s="3" t="n">
        <v>46219</v>
      </c>
    </row>
    <row r="31">
      <c r="A31" s="3" t="inlineStr">
        <is>
          <t>NGS 260031</t>
        </is>
      </c>
      <c r="B31" s="3" t="inlineStr">
        <is>
          <t>With Analysis</t>
        </is>
      </c>
      <c r="C31" s="3" t="inlineStr"/>
      <c r="D31" s="4" t="n">
        <v>46080</v>
      </c>
      <c r="E31" s="3" t="inlineStr">
        <is>
          <t>Project Closure</t>
        </is>
      </c>
      <c r="F31" s="3" t="n">
        <v>46219</v>
      </c>
      <c r="G31" s="3" t="n">
        <v>139</v>
      </c>
    </row>
    <row r="32">
      <c r="A32" s="3" t="inlineStr">
        <is>
          <t>NGS 260032</t>
        </is>
      </c>
      <c r="B32" s="3" t="inlineStr">
        <is>
          <t>With Analysis</t>
        </is>
      </c>
      <c r="C32" s="3" t="inlineStr"/>
      <c r="D32" s="4" t="n">
        <v>46067</v>
      </c>
      <c r="E32" s="3" t="inlineStr">
        <is>
          <t>Project Closure</t>
        </is>
      </c>
      <c r="F32" s="3" t="n">
        <v>46219</v>
      </c>
      <c r="G32" s="3" t="n">
        <v>152</v>
      </c>
    </row>
    <row r="33">
      <c r="A33" s="3" t="inlineStr">
        <is>
          <t>NGS 260033</t>
        </is>
      </c>
      <c r="B33" s="3" t="inlineStr">
        <is>
          <t>Without Analysis</t>
        </is>
      </c>
      <c r="C33" s="4" t="n">
        <v>46186</v>
      </c>
      <c r="D33" s="4" t="n">
        <v>46231</v>
      </c>
      <c r="E33" s="3" t="inlineStr">
        <is>
          <t>Project Closure</t>
        </is>
      </c>
      <c r="F33" s="3" t="n">
        <v>33</v>
      </c>
      <c r="G33" s="3" t="n">
        <v>46219</v>
      </c>
    </row>
    <row r="34">
      <c r="A34" s="3" t="inlineStr">
        <is>
          <t>NGS 260034</t>
        </is>
      </c>
      <c r="B34" s="3" t="inlineStr">
        <is>
          <t>Without Analysis</t>
        </is>
      </c>
      <c r="C34" s="4" t="n">
        <v>46100</v>
      </c>
      <c r="D34" s="4" t="n">
        <v>46231</v>
      </c>
      <c r="E34" s="3" t="inlineStr">
        <is>
          <t>Project Closure</t>
        </is>
      </c>
      <c r="F34" s="3" t="n">
        <v>119</v>
      </c>
      <c r="G34" s="3" t="n">
        <v>46219</v>
      </c>
    </row>
    <row r="35">
      <c r="A35" s="3" t="inlineStr">
        <is>
          <t>NGS 260035</t>
        </is>
      </c>
      <c r="B35" s="3" t="inlineStr">
        <is>
          <t>Without Analysis</t>
        </is>
      </c>
      <c r="C35" s="4" t="n">
        <v>46087</v>
      </c>
      <c r="D35" s="4" t="n">
        <v>46231</v>
      </c>
      <c r="E35" s="3" t="inlineStr">
        <is>
          <t>Project Closure</t>
        </is>
      </c>
      <c r="F35" s="3" t="n">
        <v>132</v>
      </c>
      <c r="G35" s="3" t="n">
        <v>46219</v>
      </c>
    </row>
    <row r="36">
      <c r="A36" s="3" t="inlineStr">
        <is>
          <t>NGS 260036</t>
        </is>
      </c>
      <c r="B36" s="3" t="inlineStr">
        <is>
          <t>Without Analysis</t>
        </is>
      </c>
      <c r="C36" s="4" t="n">
        <v>46087</v>
      </c>
      <c r="D36" s="4" t="n">
        <v>46231</v>
      </c>
      <c r="E36" s="3" t="inlineStr">
        <is>
          <t>Project Closure</t>
        </is>
      </c>
      <c r="F36" s="3" t="n">
        <v>132</v>
      </c>
      <c r="G36" s="3" t="n">
        <v>46219</v>
      </c>
    </row>
    <row r="37">
      <c r="A37" s="3" t="inlineStr">
        <is>
          <t>NGS 260037</t>
        </is>
      </c>
      <c r="B37" s="3" t="inlineStr">
        <is>
          <t>Without Analysis</t>
        </is>
      </c>
      <c r="C37" s="4" t="n">
        <v>46087</v>
      </c>
      <c r="D37" s="4" t="n">
        <v>46231</v>
      </c>
      <c r="E37" s="3" t="inlineStr">
        <is>
          <t>Project Closure</t>
        </is>
      </c>
      <c r="F37" s="3" t="n">
        <v>132</v>
      </c>
      <c r="G37" s="3" t="n">
        <v>46219</v>
      </c>
    </row>
    <row r="38">
      <c r="A38" s="3" t="inlineStr">
        <is>
          <t>NGS 260038</t>
        </is>
      </c>
      <c r="B38" s="3" t="inlineStr">
        <is>
          <t>With Analysis</t>
        </is>
      </c>
      <c r="C38" s="4" t="n">
        <v>46090</v>
      </c>
      <c r="D38" s="4" t="n">
        <v>46147</v>
      </c>
      <c r="E38" s="3" t="inlineStr">
        <is>
          <t>Project Closure</t>
        </is>
      </c>
      <c r="F38" s="3" t="n">
        <v>129</v>
      </c>
      <c r="G38" s="3" t="n">
        <v>72</v>
      </c>
    </row>
    <row r="39">
      <c r="A39" s="3" t="inlineStr">
        <is>
          <t>NGS 260039</t>
        </is>
      </c>
      <c r="B39" s="3" t="inlineStr">
        <is>
          <t>With Analysis</t>
        </is>
      </c>
      <c r="C39" s="3" t="inlineStr"/>
      <c r="D39" s="4" t="n">
        <v>46231</v>
      </c>
      <c r="E39" s="3" t="inlineStr">
        <is>
          <t>Cancel Project ()</t>
        </is>
      </c>
      <c r="F39" s="3" t="n">
        <v>46219</v>
      </c>
      <c r="G39" s="3" t="n">
        <v>46219</v>
      </c>
    </row>
    <row r="40">
      <c r="A40" s="3" t="inlineStr">
        <is>
          <t>NGS 260039</t>
        </is>
      </c>
      <c r="B40" s="3" t="inlineStr">
        <is>
          <t>With Analysis</t>
        </is>
      </c>
      <c r="C40" s="3" t="inlineStr"/>
      <c r="D40" s="4" t="n">
        <v>46231</v>
      </c>
      <c r="E40" s="3" t="inlineStr">
        <is>
          <t>Cancel Project ()</t>
        </is>
      </c>
      <c r="F40" s="3" t="n">
        <v>46219</v>
      </c>
      <c r="G40" s="3" t="n">
        <v>46219</v>
      </c>
    </row>
    <row r="41">
      <c r="A41" s="3" t="inlineStr">
        <is>
          <t>NGS 260040</t>
        </is>
      </c>
      <c r="B41" s="3" t="inlineStr">
        <is>
          <t>Without Analysis</t>
        </is>
      </c>
      <c r="C41" s="4" t="n">
        <v>46092</v>
      </c>
      <c r="D41" s="4" t="n">
        <v>46231</v>
      </c>
      <c r="E41" s="3" t="inlineStr">
        <is>
          <t>Project Closure</t>
        </is>
      </c>
      <c r="F41" s="3" t="n">
        <v>127</v>
      </c>
      <c r="G41" s="3" t="n">
        <v>46219</v>
      </c>
    </row>
    <row r="42">
      <c r="A42" s="3" t="inlineStr">
        <is>
          <t>NGS 260041</t>
        </is>
      </c>
      <c r="B42" s="3" t="inlineStr">
        <is>
          <t>With Analysis</t>
        </is>
      </c>
      <c r="C42" s="3" t="inlineStr"/>
      <c r="D42" s="4" t="n">
        <v>46182</v>
      </c>
      <c r="E42" s="3" t="inlineStr">
        <is>
          <t>Project Closure</t>
        </is>
      </c>
      <c r="F42" s="3" t="n">
        <v>46219</v>
      </c>
      <c r="G42" s="3" t="n">
        <v>37</v>
      </c>
    </row>
    <row r="43">
      <c r="A43" s="3" t="inlineStr">
        <is>
          <t>NGS 260042</t>
        </is>
      </c>
      <c r="B43" s="3" t="inlineStr">
        <is>
          <t>With Analysis</t>
        </is>
      </c>
      <c r="C43" s="3" t="inlineStr"/>
      <c r="D43" s="4" t="n">
        <v>46122</v>
      </c>
      <c r="E43" s="3" t="inlineStr">
        <is>
          <t>Project Closure</t>
        </is>
      </c>
      <c r="F43" s="3" t="n">
        <v>46219</v>
      </c>
      <c r="G43" s="3" t="n">
        <v>97</v>
      </c>
    </row>
    <row r="44">
      <c r="A44" s="3" t="inlineStr">
        <is>
          <t>NGS 260043</t>
        </is>
      </c>
      <c r="B44" s="3" t="inlineStr">
        <is>
          <t>With Analysis</t>
        </is>
      </c>
      <c r="C44" s="3" t="inlineStr"/>
      <c r="D44" s="4" t="n">
        <v>46231</v>
      </c>
      <c r="E44" s="3" t="inlineStr">
        <is>
          <t>0</t>
        </is>
      </c>
      <c r="F44" s="3" t="n">
        <v>46219</v>
      </c>
      <c r="G44" s="3" t="n">
        <v>46219</v>
      </c>
    </row>
    <row r="45">
      <c r="A45" s="3" t="inlineStr">
        <is>
          <t>NGS 260044</t>
        </is>
      </c>
      <c r="B45" s="3" t="inlineStr">
        <is>
          <t>Without Analysis</t>
        </is>
      </c>
      <c r="C45" s="3" t="inlineStr"/>
      <c r="D45" s="4" t="n">
        <v>46231</v>
      </c>
      <c r="E45" s="3" t="inlineStr">
        <is>
          <t>0</t>
        </is>
      </c>
      <c r="F45" s="3" t="n">
        <v>46219</v>
      </c>
      <c r="G45" s="3" t="n">
        <v>46219</v>
      </c>
    </row>
    <row r="46">
      <c r="A46" s="3" t="inlineStr">
        <is>
          <t>NGS 260045</t>
        </is>
      </c>
      <c r="B46" s="3" t="inlineStr">
        <is>
          <t>Without Analysis</t>
        </is>
      </c>
      <c r="C46" s="4" t="n">
        <v>46090</v>
      </c>
      <c r="D46" s="4" t="n">
        <v>46231</v>
      </c>
      <c r="E46" s="3" t="inlineStr">
        <is>
          <t>Project Closure</t>
        </is>
      </c>
      <c r="F46" s="3" t="n">
        <v>129</v>
      </c>
      <c r="G46" s="3" t="n">
        <v>46219</v>
      </c>
    </row>
    <row r="47">
      <c r="A47" s="3" t="inlineStr">
        <is>
          <t>NGS 260046</t>
        </is>
      </c>
      <c r="B47" s="3" t="inlineStr">
        <is>
          <t>With Analysis</t>
        </is>
      </c>
      <c r="C47" s="4" t="n">
        <v>46105</v>
      </c>
      <c r="D47" s="4" t="n">
        <v>46157</v>
      </c>
      <c r="E47" s="3" t="inlineStr">
        <is>
          <t>Project Closure</t>
        </is>
      </c>
      <c r="F47" s="3" t="n">
        <v>114</v>
      </c>
      <c r="G47" s="3" t="n">
        <v>62</v>
      </c>
    </row>
    <row r="48">
      <c r="A48" s="3" t="inlineStr">
        <is>
          <t>NGS 260048</t>
        </is>
      </c>
      <c r="B48" s="3" t="inlineStr">
        <is>
          <t>With Analysis</t>
        </is>
      </c>
      <c r="C48" s="3" t="inlineStr"/>
      <c r="D48" s="4" t="n">
        <v>46144</v>
      </c>
      <c r="E48" s="3" t="inlineStr">
        <is>
          <t>Project Closure</t>
        </is>
      </c>
      <c r="F48" s="3" t="n">
        <v>46219</v>
      </c>
      <c r="G48" s="3" t="n">
        <v>75</v>
      </c>
    </row>
    <row r="49">
      <c r="A49" s="3" t="inlineStr">
        <is>
          <t>NGS 260049</t>
        </is>
      </c>
      <c r="B49" s="3" t="inlineStr">
        <is>
          <t>With Analysis</t>
        </is>
      </c>
      <c r="C49" s="3" t="inlineStr"/>
      <c r="D49" s="4" t="n">
        <v>46121</v>
      </c>
      <c r="E49" s="3" t="inlineStr">
        <is>
          <t>Project Closure</t>
        </is>
      </c>
      <c r="F49" s="3" t="n">
        <v>46219</v>
      </c>
      <c r="G49" s="3" t="n">
        <v>98</v>
      </c>
    </row>
    <row r="50">
      <c r="A50" s="3" t="inlineStr">
        <is>
          <t>NGS 260050</t>
        </is>
      </c>
      <c r="B50" s="3" t="inlineStr">
        <is>
          <t>With Analysis</t>
        </is>
      </c>
      <c r="C50" s="3" t="inlineStr"/>
      <c r="D50" s="4" t="n">
        <v>46100</v>
      </c>
      <c r="E50" s="3" t="inlineStr">
        <is>
          <t>Project Closure</t>
        </is>
      </c>
      <c r="F50" s="3" t="n">
        <v>46219</v>
      </c>
      <c r="G50" s="3" t="n">
        <v>119</v>
      </c>
    </row>
    <row r="51">
      <c r="A51" s="3" t="inlineStr">
        <is>
          <t>NGS 260051</t>
        </is>
      </c>
      <c r="B51" s="3" t="inlineStr">
        <is>
          <t>With Analysis</t>
        </is>
      </c>
      <c r="C51" s="3" t="inlineStr"/>
      <c r="D51" s="4" t="n">
        <v>46158</v>
      </c>
      <c r="E51" s="3" t="inlineStr">
        <is>
          <t>Project Closure</t>
        </is>
      </c>
      <c r="F51" s="3" t="n">
        <v>46219</v>
      </c>
      <c r="G51" s="3" t="n">
        <v>61</v>
      </c>
    </row>
    <row r="52">
      <c r="A52" s="3" t="inlineStr">
        <is>
          <t>NGS 260051_1</t>
        </is>
      </c>
      <c r="B52" s="3" t="inlineStr">
        <is>
          <t>With Analysis</t>
        </is>
      </c>
      <c r="C52" s="3" t="inlineStr"/>
      <c r="D52" s="4" t="n">
        <v>46158</v>
      </c>
      <c r="E52" s="3" t="inlineStr">
        <is>
          <t>Project Closure</t>
        </is>
      </c>
      <c r="F52" s="3" t="n">
        <v>46219</v>
      </c>
      <c r="G52" s="3" t="n">
        <v>61</v>
      </c>
    </row>
    <row r="53">
      <c r="A53" s="3" t="inlineStr">
        <is>
          <t>NGS 260052</t>
        </is>
      </c>
      <c r="B53" s="3" t="inlineStr">
        <is>
          <t>With Analysis</t>
        </is>
      </c>
      <c r="C53" s="3" t="inlineStr"/>
      <c r="D53" s="4" t="n">
        <v>46121</v>
      </c>
      <c r="E53" s="3" t="inlineStr">
        <is>
          <t>Project Closure</t>
        </is>
      </c>
      <c r="F53" s="3" t="n">
        <v>46219</v>
      </c>
      <c r="G53" s="3" t="n">
        <v>98</v>
      </c>
    </row>
    <row r="54">
      <c r="A54" s="3" t="inlineStr">
        <is>
          <t>NGS 260053</t>
        </is>
      </c>
      <c r="B54" s="3" t="inlineStr">
        <is>
          <t>Without Analysis</t>
        </is>
      </c>
      <c r="C54" s="4" t="n">
        <v>46114</v>
      </c>
      <c r="D54" s="4" t="n">
        <v>46231</v>
      </c>
      <c r="E54" s="3" t="inlineStr">
        <is>
          <t>Project Closure</t>
        </is>
      </c>
      <c r="F54" s="3" t="n">
        <v>105</v>
      </c>
      <c r="G54" s="3" t="n">
        <v>46219</v>
      </c>
    </row>
    <row r="55">
      <c r="A55" s="3" t="inlineStr">
        <is>
          <t>NGS 260054</t>
        </is>
      </c>
      <c r="B55" s="3" t="inlineStr">
        <is>
          <t>Without Analysis</t>
        </is>
      </c>
      <c r="C55" s="4" t="n">
        <v>46105</v>
      </c>
      <c r="D55" s="4" t="n">
        <v>46231</v>
      </c>
      <c r="E55" s="3" t="inlineStr">
        <is>
          <t>Project Closure</t>
        </is>
      </c>
      <c r="F55" s="3" t="n">
        <v>114</v>
      </c>
      <c r="G55" s="3" t="n">
        <v>46219</v>
      </c>
    </row>
    <row r="56">
      <c r="A56" s="3" t="inlineStr">
        <is>
          <t>NGS 260055</t>
        </is>
      </c>
      <c r="B56" s="3" t="inlineStr">
        <is>
          <t>Without Analysis</t>
        </is>
      </c>
      <c r="C56" s="4" t="n">
        <v>46114</v>
      </c>
      <c r="D56" s="4" t="n">
        <v>46231</v>
      </c>
      <c r="E56" s="3" t="inlineStr">
        <is>
          <t>Project Closure</t>
        </is>
      </c>
      <c r="F56" s="3" t="n">
        <v>105</v>
      </c>
      <c r="G56" s="3" t="n">
        <v>46219</v>
      </c>
    </row>
    <row r="57">
      <c r="A57" s="3" t="inlineStr">
        <is>
          <t>NGS 260056</t>
        </is>
      </c>
      <c r="B57" s="3" t="inlineStr">
        <is>
          <t>With Analysis</t>
        </is>
      </c>
      <c r="C57" s="3" t="inlineStr"/>
      <c r="D57" s="4" t="n">
        <v>46215</v>
      </c>
      <c r="E57" s="3" t="inlineStr">
        <is>
          <t>Project Closure</t>
        </is>
      </c>
      <c r="F57" s="3" t="n">
        <v>46219</v>
      </c>
      <c r="G57" s="3" t="n">
        <v>4</v>
      </c>
    </row>
    <row r="58">
      <c r="A58" s="3" t="inlineStr">
        <is>
          <t>NGS 260057</t>
        </is>
      </c>
      <c r="B58" s="3" t="inlineStr">
        <is>
          <t>With Analysis</t>
        </is>
      </c>
      <c r="C58" s="3" t="inlineStr"/>
      <c r="D58" s="4" t="n">
        <v>46231</v>
      </c>
      <c r="E58" s="3" t="inlineStr">
        <is>
          <t>0</t>
        </is>
      </c>
      <c r="F58" s="3" t="n">
        <v>46219</v>
      </c>
      <c r="G58" s="3" t="n">
        <v>46219</v>
      </c>
    </row>
    <row r="59">
      <c r="A59" s="3" t="inlineStr">
        <is>
          <t>NGS 260058</t>
        </is>
      </c>
      <c r="B59" s="3" t="inlineStr">
        <is>
          <t>With Analysis</t>
        </is>
      </c>
      <c r="C59" s="3" t="inlineStr"/>
      <c r="D59" s="4" t="n">
        <v>46231</v>
      </c>
      <c r="E59" s="3" t="inlineStr">
        <is>
          <t>0</t>
        </is>
      </c>
      <c r="F59" s="3" t="n">
        <v>46219</v>
      </c>
      <c r="G59" s="3" t="n">
        <v>46219</v>
      </c>
    </row>
    <row r="60">
      <c r="A60" s="3" t="inlineStr">
        <is>
          <t>NGS 260059</t>
        </is>
      </c>
      <c r="B60" s="3" t="inlineStr">
        <is>
          <t>With Analysis</t>
        </is>
      </c>
      <c r="C60" s="3" t="inlineStr"/>
      <c r="D60" s="4" t="n">
        <v>46231</v>
      </c>
      <c r="E60" s="3" t="inlineStr">
        <is>
          <t>0</t>
        </is>
      </c>
      <c r="F60" s="3" t="n">
        <v>46219</v>
      </c>
      <c r="G60" s="3" t="n">
        <v>46219</v>
      </c>
    </row>
    <row r="61">
      <c r="A61" s="3" t="inlineStr">
        <is>
          <t>NGS 260060</t>
        </is>
      </c>
      <c r="B61" s="3" t="inlineStr">
        <is>
          <t>With Analysis</t>
        </is>
      </c>
      <c r="C61" s="3" t="inlineStr"/>
      <c r="D61" s="4" t="n">
        <v>46231</v>
      </c>
      <c r="E61" s="3" t="inlineStr">
        <is>
          <t>0</t>
        </is>
      </c>
      <c r="F61" s="3" t="n">
        <v>46219</v>
      </c>
      <c r="G61" s="3" t="n">
        <v>46219</v>
      </c>
    </row>
    <row r="62">
      <c r="A62" s="3" t="inlineStr">
        <is>
          <t>NGS 260061</t>
        </is>
      </c>
      <c r="B62" s="3" t="inlineStr">
        <is>
          <t>With Analysis</t>
        </is>
      </c>
      <c r="C62" s="3" t="inlineStr"/>
      <c r="D62" s="4" t="n">
        <v>46231</v>
      </c>
      <c r="E62" s="3" t="inlineStr">
        <is>
          <t>QC Fail</t>
        </is>
      </c>
      <c r="F62" s="3" t="n">
        <v>46219</v>
      </c>
      <c r="G62" s="3" t="n">
        <v>46219</v>
      </c>
    </row>
    <row r="63">
      <c r="A63" s="3" t="inlineStr">
        <is>
          <t>NGS 260062</t>
        </is>
      </c>
      <c r="B63" s="3" t="inlineStr">
        <is>
          <t>With Analysis</t>
        </is>
      </c>
      <c r="C63" s="4" t="n">
        <v>46098</v>
      </c>
      <c r="D63" s="4" t="n">
        <v>46125</v>
      </c>
      <c r="E63" s="3" t="inlineStr">
        <is>
          <t>Project Closure</t>
        </is>
      </c>
      <c r="F63" s="3" t="n">
        <v>121</v>
      </c>
      <c r="G63" s="3" t="n">
        <v>94</v>
      </c>
    </row>
    <row r="64">
      <c r="A64" s="3" t="inlineStr">
        <is>
          <t>NGS 260063</t>
        </is>
      </c>
      <c r="B64" s="3" t="inlineStr">
        <is>
          <t>With Analysis</t>
        </is>
      </c>
      <c r="C64" s="3" t="inlineStr"/>
      <c r="D64" s="4" t="n">
        <v>46231</v>
      </c>
      <c r="E64" s="3" t="inlineStr">
        <is>
          <t>0</t>
        </is>
      </c>
      <c r="F64" s="3" t="n">
        <v>46219</v>
      </c>
      <c r="G64" s="3" t="n">
        <v>46219</v>
      </c>
    </row>
    <row r="65">
      <c r="A65" s="3" t="inlineStr">
        <is>
          <t>NGS 260064</t>
        </is>
      </c>
      <c r="B65" s="3" t="inlineStr">
        <is>
          <t>Without Analysis</t>
        </is>
      </c>
      <c r="C65" s="3" t="inlineStr"/>
      <c r="D65" s="4" t="n">
        <v>46231</v>
      </c>
      <c r="E65" s="3" t="inlineStr">
        <is>
          <t>QC Fail</t>
        </is>
      </c>
      <c r="F65" s="3" t="n">
        <v>46219</v>
      </c>
      <c r="G65" s="3" t="n">
        <v>46219</v>
      </c>
    </row>
    <row r="66">
      <c r="A66" s="3" t="inlineStr">
        <is>
          <t>NGS 260065</t>
        </is>
      </c>
      <c r="B66" s="3" t="inlineStr">
        <is>
          <t>With Analysis</t>
        </is>
      </c>
      <c r="C66" s="3" t="inlineStr"/>
      <c r="D66" s="4" t="n">
        <v>46231</v>
      </c>
      <c r="E66" s="3" t="inlineStr">
        <is>
          <t>QC Fail</t>
        </is>
      </c>
      <c r="F66" s="3" t="n">
        <v>46219</v>
      </c>
      <c r="G66" s="3" t="n">
        <v>46219</v>
      </c>
    </row>
    <row r="67">
      <c r="A67" s="3" t="inlineStr">
        <is>
          <t>NGS 260066</t>
        </is>
      </c>
      <c r="B67" s="3" t="inlineStr">
        <is>
          <t>Without Analysis</t>
        </is>
      </c>
      <c r="C67" s="3" t="inlineStr"/>
      <c r="D67" s="4" t="n">
        <v>46231</v>
      </c>
      <c r="E67" s="3" t="inlineStr">
        <is>
          <t>QC Fail</t>
        </is>
      </c>
      <c r="F67" s="3" t="n">
        <v>46219</v>
      </c>
      <c r="G67" s="3" t="n">
        <v>46219</v>
      </c>
    </row>
    <row r="68">
      <c r="A68" s="3" t="inlineStr">
        <is>
          <t>NGS 260067</t>
        </is>
      </c>
      <c r="B68" s="3" t="inlineStr">
        <is>
          <t>With Analysis</t>
        </is>
      </c>
      <c r="C68" s="3" t="inlineStr"/>
      <c r="D68" s="4" t="n">
        <v>46198</v>
      </c>
      <c r="E68" s="3" t="inlineStr">
        <is>
          <t>Project Closure</t>
        </is>
      </c>
      <c r="F68" s="3" t="n">
        <v>46219</v>
      </c>
      <c r="G68" s="3" t="n">
        <v>21</v>
      </c>
    </row>
    <row r="69">
      <c r="A69" s="3" t="inlineStr">
        <is>
          <t>NGS 260068</t>
        </is>
      </c>
      <c r="B69" s="3" t="inlineStr">
        <is>
          <t>With Analysis</t>
        </is>
      </c>
      <c r="C69" s="3" t="inlineStr"/>
      <c r="D69" s="4" t="n">
        <v>46231</v>
      </c>
      <c r="E69" s="3" t="inlineStr">
        <is>
          <t>0</t>
        </is>
      </c>
      <c r="F69" s="3" t="n">
        <v>46219</v>
      </c>
      <c r="G69" s="3" t="n">
        <v>46219</v>
      </c>
    </row>
    <row r="70">
      <c r="A70" s="3" t="inlineStr">
        <is>
          <t>NGS 260069</t>
        </is>
      </c>
      <c r="B70" s="3" t="inlineStr">
        <is>
          <t>With Analysis</t>
        </is>
      </c>
      <c r="C70" s="4" t="n">
        <v>46114</v>
      </c>
      <c r="D70" s="4" t="n">
        <v>46120</v>
      </c>
      <c r="E70" s="3" t="inlineStr">
        <is>
          <t>Project Closure</t>
        </is>
      </c>
      <c r="F70" s="3" t="n">
        <v>105</v>
      </c>
      <c r="G70" s="3" t="n">
        <v>99</v>
      </c>
    </row>
    <row r="71">
      <c r="A71" s="3" t="inlineStr">
        <is>
          <t>NGS 260070</t>
        </is>
      </c>
      <c r="B71" s="3" t="inlineStr">
        <is>
          <t>With Analysis</t>
        </is>
      </c>
      <c r="C71" s="4" t="n">
        <v>46114</v>
      </c>
      <c r="D71" s="4" t="n">
        <v>46120</v>
      </c>
      <c r="E71" s="3" t="inlineStr">
        <is>
          <t>Project Closure</t>
        </is>
      </c>
      <c r="F71" s="3" t="n">
        <v>105</v>
      </c>
      <c r="G71" s="3" t="n">
        <v>99</v>
      </c>
    </row>
    <row r="72">
      <c r="A72" s="3" t="inlineStr">
        <is>
          <t>Re-NGS 260071</t>
        </is>
      </c>
      <c r="B72" s="3" t="inlineStr">
        <is>
          <t>Without Analysis</t>
        </is>
      </c>
      <c r="C72" s="3" t="inlineStr"/>
      <c r="D72" s="4" t="n">
        <v>46231</v>
      </c>
      <c r="E72" s="3" t="inlineStr">
        <is>
          <t>QC Fail</t>
        </is>
      </c>
      <c r="F72" s="3" t="n">
        <v>46219</v>
      </c>
      <c r="G72" s="3" t="n">
        <v>46219</v>
      </c>
    </row>
    <row r="73">
      <c r="A73" s="3" t="inlineStr">
        <is>
          <t>Re-NGS 260072</t>
        </is>
      </c>
      <c r="B73" s="3" t="inlineStr">
        <is>
          <t>With Analysis</t>
        </is>
      </c>
      <c r="C73" s="4" t="n">
        <v>46160</v>
      </c>
      <c r="D73" s="4" t="n">
        <v>46195</v>
      </c>
      <c r="E73" s="3" t="inlineStr">
        <is>
          <t>Project Closure</t>
        </is>
      </c>
      <c r="F73" s="3" t="n">
        <v>59</v>
      </c>
      <c r="G73" s="3" t="n">
        <v>24</v>
      </c>
    </row>
    <row r="74">
      <c r="A74" s="3" t="inlineStr">
        <is>
          <t>NGS 260073</t>
        </is>
      </c>
      <c r="B74" s="3" t="inlineStr">
        <is>
          <t>Without Analysis</t>
        </is>
      </c>
      <c r="C74" s="4" t="n">
        <v>46091</v>
      </c>
      <c r="D74" s="4" t="n">
        <v>46231</v>
      </c>
      <c r="E74" s="3" t="inlineStr">
        <is>
          <t>Project Closure</t>
        </is>
      </c>
      <c r="F74" s="3" t="n">
        <v>128</v>
      </c>
      <c r="G74" s="3" t="n">
        <v>46219</v>
      </c>
    </row>
    <row r="75">
      <c r="A75" s="3" t="inlineStr">
        <is>
          <t>NGS 260074</t>
        </is>
      </c>
      <c r="B75" s="3" t="inlineStr">
        <is>
          <t>Without Analysis</t>
        </is>
      </c>
      <c r="C75" s="4" t="n">
        <v>46128</v>
      </c>
      <c r="D75" s="4" t="n">
        <v>46231</v>
      </c>
      <c r="E75" s="3" t="inlineStr">
        <is>
          <t>Project Closure</t>
        </is>
      </c>
      <c r="F75" s="3" t="n">
        <v>91</v>
      </c>
      <c r="G75" s="3" t="n">
        <v>46219</v>
      </c>
    </row>
    <row r="76">
      <c r="A76" s="3" t="inlineStr">
        <is>
          <t>NGS 260075</t>
        </is>
      </c>
      <c r="B76" s="3" t="inlineStr">
        <is>
          <t>Without Analysis</t>
        </is>
      </c>
      <c r="C76" s="4" t="n">
        <v>46143</v>
      </c>
      <c r="D76" s="4" t="n">
        <v>46231</v>
      </c>
      <c r="E76" s="3" t="inlineStr">
        <is>
          <t>Project Closure</t>
        </is>
      </c>
      <c r="F76" s="3" t="n">
        <v>76</v>
      </c>
      <c r="G76" s="3" t="n">
        <v>46219</v>
      </c>
    </row>
    <row r="77">
      <c r="A77" s="3" t="inlineStr">
        <is>
          <t>NGS 260077</t>
        </is>
      </c>
      <c r="B77" s="3" t="inlineStr">
        <is>
          <t>With Analysis</t>
        </is>
      </c>
      <c r="C77" s="3" t="inlineStr"/>
      <c r="D77" s="4" t="n">
        <v>46196</v>
      </c>
      <c r="E77" s="3" t="inlineStr">
        <is>
          <t>Project Closure</t>
        </is>
      </c>
      <c r="F77" s="3" t="n">
        <v>46219</v>
      </c>
      <c r="G77" s="3" t="n">
        <v>23</v>
      </c>
    </row>
    <row r="78">
      <c r="A78" s="3" t="inlineStr">
        <is>
          <t>NGS 260078</t>
        </is>
      </c>
      <c r="B78" s="3" t="inlineStr">
        <is>
          <t>Without Analysis</t>
        </is>
      </c>
      <c r="C78" s="4" t="n">
        <v>46126</v>
      </c>
      <c r="D78" s="4" t="n">
        <v>46231</v>
      </c>
      <c r="E78" s="3" t="inlineStr">
        <is>
          <t>Project Closure</t>
        </is>
      </c>
      <c r="F78" s="3" t="n">
        <v>93</v>
      </c>
      <c r="G78" s="3" t="n">
        <v>46219</v>
      </c>
    </row>
    <row r="79">
      <c r="A79" s="3" t="inlineStr">
        <is>
          <t>NGS 260079</t>
        </is>
      </c>
      <c r="B79" s="3" t="inlineStr">
        <is>
          <t>Without Analysis</t>
        </is>
      </c>
      <c r="C79" s="3" t="inlineStr"/>
      <c r="D79" s="4" t="n">
        <v>46231</v>
      </c>
      <c r="E79" s="3" t="inlineStr">
        <is>
          <t>0</t>
        </is>
      </c>
      <c r="F79" s="3" t="n">
        <v>46219</v>
      </c>
      <c r="G79" s="3" t="n">
        <v>46219</v>
      </c>
    </row>
    <row r="80">
      <c r="A80" s="3" t="inlineStr">
        <is>
          <t>NGS 260080</t>
        </is>
      </c>
      <c r="B80" s="3" t="inlineStr">
        <is>
          <t>With Analysis</t>
        </is>
      </c>
      <c r="C80" s="4" t="n">
        <v>46142</v>
      </c>
      <c r="D80" s="4" t="n">
        <v>46183</v>
      </c>
      <c r="E80" s="3" t="inlineStr">
        <is>
          <t>Project Closure</t>
        </is>
      </c>
      <c r="F80" s="3" t="n">
        <v>77</v>
      </c>
      <c r="G80" s="3" t="n">
        <v>36</v>
      </c>
    </row>
    <row r="81">
      <c r="A81" s="3" t="inlineStr">
        <is>
          <t>NGS 260081</t>
        </is>
      </c>
      <c r="B81" s="3" t="inlineStr">
        <is>
          <t>With Analysis</t>
        </is>
      </c>
      <c r="C81" s="3" t="inlineStr"/>
      <c r="D81" s="4" t="n">
        <v>46231</v>
      </c>
      <c r="E81" s="3" t="inlineStr">
        <is>
          <t>0</t>
        </is>
      </c>
      <c r="F81" s="3" t="n">
        <v>46219</v>
      </c>
      <c r="G81" s="3" t="n">
        <v>46219</v>
      </c>
    </row>
    <row r="82">
      <c r="A82" s="3" t="inlineStr">
        <is>
          <t>NGS 260082</t>
        </is>
      </c>
      <c r="B82" s="3" t="inlineStr">
        <is>
          <t>With Analysis</t>
        </is>
      </c>
      <c r="C82" s="3" t="inlineStr"/>
      <c r="D82" s="4" t="n">
        <v>46231</v>
      </c>
      <c r="E82" s="3" t="inlineStr">
        <is>
          <t>0</t>
        </is>
      </c>
      <c r="F82" s="3" t="n">
        <v>46219</v>
      </c>
      <c r="G82" s="3" t="n">
        <v>46219</v>
      </c>
    </row>
    <row r="83">
      <c r="A83" s="3" t="inlineStr">
        <is>
          <t>NGS 260083</t>
        </is>
      </c>
      <c r="B83" s="3" t="inlineStr">
        <is>
          <t>With Analysis</t>
        </is>
      </c>
      <c r="C83" s="3" t="inlineStr"/>
      <c r="D83" s="4" t="n">
        <v>46231</v>
      </c>
      <c r="E83" s="3" t="inlineStr">
        <is>
          <t>0</t>
        </is>
      </c>
      <c r="F83" s="3" t="n">
        <v>46219</v>
      </c>
      <c r="G83" s="3" t="n">
        <v>46219</v>
      </c>
    </row>
    <row r="84">
      <c r="A84" s="3" t="inlineStr">
        <is>
          <t>NGS 260084</t>
        </is>
      </c>
      <c r="B84" s="3" t="inlineStr">
        <is>
          <t>With Analysis</t>
        </is>
      </c>
      <c r="C84" s="4" t="n">
        <v>46128</v>
      </c>
      <c r="D84" s="4" t="n">
        <v>46162</v>
      </c>
      <c r="E84" s="3" t="inlineStr">
        <is>
          <t>Project Closure</t>
        </is>
      </c>
      <c r="F84" s="3" t="n">
        <v>91</v>
      </c>
      <c r="G84" s="3" t="n">
        <v>57</v>
      </c>
    </row>
    <row r="85">
      <c r="A85" s="3" t="inlineStr">
        <is>
          <t>NGS 260085</t>
        </is>
      </c>
      <c r="B85" s="3" t="inlineStr">
        <is>
          <t>With Analysis</t>
        </is>
      </c>
      <c r="C85" s="3" t="inlineStr"/>
      <c r="D85" s="4" t="n">
        <v>46231</v>
      </c>
      <c r="E85" s="3" t="inlineStr">
        <is>
          <t>0</t>
        </is>
      </c>
      <c r="F85" s="3" t="n">
        <v>46219</v>
      </c>
      <c r="G85" s="3" t="n">
        <v>46219</v>
      </c>
    </row>
    <row r="86">
      <c r="A86" s="3" t="inlineStr">
        <is>
          <t>NGS 260086</t>
        </is>
      </c>
      <c r="B86" s="3" t="inlineStr">
        <is>
          <t>With Analysis</t>
        </is>
      </c>
      <c r="C86" s="3" t="inlineStr"/>
      <c r="D86" s="4" t="n">
        <v>46231</v>
      </c>
      <c r="E86" s="3" t="inlineStr">
        <is>
          <t>0</t>
        </is>
      </c>
      <c r="F86" s="3" t="n">
        <v>46219</v>
      </c>
      <c r="G86" s="3" t="n">
        <v>46219</v>
      </c>
    </row>
    <row r="87">
      <c r="A87" s="3" t="inlineStr">
        <is>
          <t>NGS 260087</t>
        </is>
      </c>
      <c r="B87" s="3" t="inlineStr">
        <is>
          <t>With Analysis</t>
        </is>
      </c>
      <c r="C87" s="3" t="inlineStr"/>
      <c r="D87" s="4" t="n">
        <v>46231</v>
      </c>
      <c r="E87" s="3" t="inlineStr">
        <is>
          <t>QC Fail</t>
        </is>
      </c>
      <c r="F87" s="3" t="n">
        <v>46219</v>
      </c>
      <c r="G87" s="3" t="n">
        <v>46219</v>
      </c>
    </row>
    <row r="88">
      <c r="A88" s="3" t="inlineStr">
        <is>
          <t>NGS 260088</t>
        </is>
      </c>
      <c r="B88" s="3" t="inlineStr">
        <is>
          <t>With Analysis</t>
        </is>
      </c>
      <c r="C88" s="3" t="inlineStr"/>
      <c r="D88" s="4" t="n">
        <v>46231</v>
      </c>
      <c r="E88" s="3" t="inlineStr">
        <is>
          <t>0</t>
        </is>
      </c>
      <c r="F88" s="3" t="n">
        <v>46219</v>
      </c>
      <c r="G88" s="3" t="n">
        <v>46219</v>
      </c>
    </row>
    <row r="89">
      <c r="A89" s="3" t="inlineStr">
        <is>
          <t>NGS 260089</t>
        </is>
      </c>
      <c r="B89" s="3" t="inlineStr">
        <is>
          <t>Without Analysis</t>
        </is>
      </c>
      <c r="C89" s="4" t="n">
        <v>46126</v>
      </c>
      <c r="D89" s="4" t="n">
        <v>46231</v>
      </c>
      <c r="E89" s="3" t="inlineStr">
        <is>
          <t>Project Closure</t>
        </is>
      </c>
      <c r="F89" s="3" t="n">
        <v>93</v>
      </c>
      <c r="G89" s="3" t="n">
        <v>46219</v>
      </c>
    </row>
    <row r="90">
      <c r="A90" s="3" t="inlineStr">
        <is>
          <t>NGS 260090</t>
        </is>
      </c>
      <c r="B90" s="3" t="inlineStr">
        <is>
          <t>With Analysis</t>
        </is>
      </c>
      <c r="C90" s="3" t="inlineStr"/>
      <c r="D90" s="4" t="n">
        <v>46231</v>
      </c>
      <c r="E90" s="3" t="inlineStr">
        <is>
          <t>0</t>
        </is>
      </c>
      <c r="F90" s="3" t="n">
        <v>46219</v>
      </c>
      <c r="G90" s="3" t="n">
        <v>46219</v>
      </c>
    </row>
    <row r="91">
      <c r="A91" s="3" t="inlineStr">
        <is>
          <t>NGS 260091</t>
        </is>
      </c>
      <c r="B91" s="3" t="inlineStr">
        <is>
          <t>With Analysis</t>
        </is>
      </c>
      <c r="C91" s="3" t="inlineStr"/>
      <c r="D91" s="4" t="n">
        <v>46147</v>
      </c>
      <c r="E91" s="3" t="inlineStr">
        <is>
          <t>Project Closure</t>
        </is>
      </c>
      <c r="F91" s="3" t="n">
        <v>46219</v>
      </c>
      <c r="G91" s="3" t="n">
        <v>72</v>
      </c>
    </row>
    <row r="92">
      <c r="A92" s="3" t="inlineStr">
        <is>
          <t>NGS 260092</t>
        </is>
      </c>
      <c r="B92" s="3" t="inlineStr">
        <is>
          <t>With Analysis</t>
        </is>
      </c>
      <c r="C92" s="3" t="inlineStr"/>
      <c r="D92" s="4" t="n">
        <v>46161</v>
      </c>
      <c r="E92" s="3" t="inlineStr">
        <is>
          <t>Project Closure</t>
        </is>
      </c>
      <c r="F92" s="3" t="n">
        <v>46219</v>
      </c>
      <c r="G92" s="3" t="n">
        <v>58</v>
      </c>
    </row>
    <row r="93">
      <c r="A93" s="3" t="inlineStr">
        <is>
          <t>NGS 260093</t>
        </is>
      </c>
      <c r="B93" s="3" t="inlineStr">
        <is>
          <t>Without Analysis</t>
        </is>
      </c>
      <c r="C93" s="4" t="n">
        <v>46120</v>
      </c>
      <c r="D93" s="4" t="n">
        <v>46231</v>
      </c>
      <c r="E93" s="3" t="inlineStr">
        <is>
          <t>Project Closure</t>
        </is>
      </c>
      <c r="F93" s="3" t="n">
        <v>99</v>
      </c>
      <c r="G93" s="3" t="n">
        <v>46219</v>
      </c>
    </row>
    <row r="94">
      <c r="A94" s="3" t="inlineStr">
        <is>
          <t>NGS 260094</t>
        </is>
      </c>
      <c r="B94" s="3" t="inlineStr">
        <is>
          <t>Without Analysis</t>
        </is>
      </c>
      <c r="C94" s="4" t="n">
        <v>46135</v>
      </c>
      <c r="D94" s="4" t="n">
        <v>46231</v>
      </c>
      <c r="E94" s="3" t="inlineStr">
        <is>
          <t>Project Closure</t>
        </is>
      </c>
      <c r="F94" s="3" t="n">
        <v>84</v>
      </c>
      <c r="G94" s="3" t="n">
        <v>46219</v>
      </c>
    </row>
    <row r="95">
      <c r="A95" s="3" t="inlineStr">
        <is>
          <t>NGS 260095</t>
        </is>
      </c>
      <c r="B95" s="3" t="inlineStr">
        <is>
          <t>Without Analysis</t>
        </is>
      </c>
      <c r="C95" s="3" t="inlineStr"/>
      <c r="D95" s="4" t="n">
        <v>46231</v>
      </c>
      <c r="E95" s="3" t="inlineStr">
        <is>
          <t>QC Fail</t>
        </is>
      </c>
      <c r="F95" s="3" t="n">
        <v>46219</v>
      </c>
      <c r="G95" s="3" t="n">
        <v>46219</v>
      </c>
    </row>
    <row r="96">
      <c r="A96" s="3" t="inlineStr">
        <is>
          <t>NGS 260096</t>
        </is>
      </c>
      <c r="B96" s="3" t="inlineStr">
        <is>
          <t>Without Analysis</t>
        </is>
      </c>
      <c r="C96" s="4" t="n">
        <v>46140</v>
      </c>
      <c r="D96" s="4" t="n">
        <v>46231</v>
      </c>
      <c r="E96" s="3" t="inlineStr">
        <is>
          <t>Project Closure</t>
        </is>
      </c>
      <c r="F96" s="3" t="n">
        <v>79</v>
      </c>
      <c r="G96" s="3" t="n">
        <v>46219</v>
      </c>
    </row>
    <row r="97">
      <c r="A97" s="3" t="inlineStr">
        <is>
          <t>NGS 260097</t>
        </is>
      </c>
      <c r="B97" s="3" t="inlineStr">
        <is>
          <t>Without Analysis</t>
        </is>
      </c>
      <c r="C97" s="4" t="n">
        <v>46135</v>
      </c>
      <c r="D97" s="4" t="n">
        <v>46231</v>
      </c>
      <c r="E97" s="3" t="inlineStr">
        <is>
          <t>Project Closure</t>
        </is>
      </c>
      <c r="F97" s="3" t="n">
        <v>84</v>
      </c>
      <c r="G97" s="3" t="n">
        <v>46219</v>
      </c>
    </row>
    <row r="98">
      <c r="A98" s="3" t="inlineStr">
        <is>
          <t>NGS 260098</t>
        </is>
      </c>
      <c r="B98" s="3" t="inlineStr">
        <is>
          <t>With Analysis</t>
        </is>
      </c>
      <c r="C98" s="3" t="inlineStr"/>
      <c r="D98" s="4" t="n">
        <v>46231</v>
      </c>
      <c r="E98" s="3" t="inlineStr">
        <is>
          <t>QC Fail</t>
        </is>
      </c>
      <c r="F98" s="3" t="n">
        <v>46219</v>
      </c>
      <c r="G98" s="3" t="n">
        <v>46219</v>
      </c>
    </row>
    <row r="99">
      <c r="A99" s="3" t="inlineStr">
        <is>
          <t>NGS 260099</t>
        </is>
      </c>
      <c r="B99" s="3" t="inlineStr">
        <is>
          <t>With Analysis</t>
        </is>
      </c>
      <c r="C99" s="3" t="inlineStr"/>
      <c r="D99" s="4" t="n">
        <v>46231</v>
      </c>
      <c r="E99" s="3" t="inlineStr">
        <is>
          <t>0</t>
        </is>
      </c>
      <c r="F99" s="3" t="n">
        <v>46219</v>
      </c>
      <c r="G99" s="3" t="n">
        <v>46219</v>
      </c>
    </row>
    <row r="100">
      <c r="A100" s="3" t="inlineStr">
        <is>
          <t>NGS 260100</t>
        </is>
      </c>
      <c r="B100" s="3" t="inlineStr">
        <is>
          <t>With Analysis</t>
        </is>
      </c>
      <c r="C100" s="3" t="inlineStr"/>
      <c r="D100" s="4" t="n">
        <v>46213</v>
      </c>
      <c r="E100" s="3" t="inlineStr">
        <is>
          <t>Project Closure</t>
        </is>
      </c>
      <c r="F100" s="3" t="n">
        <v>46219</v>
      </c>
      <c r="G100" s="3" t="n">
        <v>6</v>
      </c>
    </row>
    <row r="101">
      <c r="A101" s="3" t="inlineStr">
        <is>
          <t>NGS 260101</t>
        </is>
      </c>
      <c r="B101" s="3" t="inlineStr">
        <is>
          <t>Without Analysis</t>
        </is>
      </c>
      <c r="C101" s="4" t="n">
        <v>46137</v>
      </c>
      <c r="D101" s="4" t="n">
        <v>46231</v>
      </c>
      <c r="E101" s="3" t="inlineStr">
        <is>
          <t>Project Closure</t>
        </is>
      </c>
      <c r="F101" s="3" t="n">
        <v>82</v>
      </c>
      <c r="G101" s="3" t="n">
        <v>46219</v>
      </c>
    </row>
    <row r="102">
      <c r="A102" s="3" t="inlineStr">
        <is>
          <t>NGS 260103</t>
        </is>
      </c>
      <c r="B102" s="3" t="inlineStr">
        <is>
          <t>Without Analysis</t>
        </is>
      </c>
      <c r="C102" s="4" t="n">
        <v>46143</v>
      </c>
      <c r="D102" s="4" t="n">
        <v>46231</v>
      </c>
      <c r="E102" s="3" t="inlineStr">
        <is>
          <t>Project Closure</t>
        </is>
      </c>
      <c r="F102" s="3" t="n">
        <v>76</v>
      </c>
      <c r="G102" s="3" t="n">
        <v>46219</v>
      </c>
    </row>
    <row r="103">
      <c r="A103" s="3" t="inlineStr">
        <is>
          <t>NGS 260104</t>
        </is>
      </c>
      <c r="B103" s="3" t="inlineStr">
        <is>
          <t>With Analysis</t>
        </is>
      </c>
      <c r="C103" s="3" t="inlineStr"/>
      <c r="D103" s="4" t="n">
        <v>46146</v>
      </c>
      <c r="E103" s="3" t="inlineStr">
        <is>
          <t>Project Closure</t>
        </is>
      </c>
      <c r="F103" s="3" t="n">
        <v>46219</v>
      </c>
      <c r="G103" s="3" t="n">
        <v>73</v>
      </c>
    </row>
    <row r="104">
      <c r="A104" s="3" t="inlineStr">
        <is>
          <t>NGS 260105</t>
        </is>
      </c>
      <c r="B104" s="3" t="inlineStr">
        <is>
          <t>Without Analysis</t>
        </is>
      </c>
      <c r="C104" s="3" t="inlineStr"/>
      <c r="D104" s="4" t="n">
        <v>46231</v>
      </c>
      <c r="E104" s="3" t="inlineStr">
        <is>
          <t>QC Fail</t>
        </is>
      </c>
      <c r="F104" s="3" t="n">
        <v>46219</v>
      </c>
      <c r="G104" s="3" t="n">
        <v>46219</v>
      </c>
    </row>
    <row r="105">
      <c r="A105" s="3" t="inlineStr">
        <is>
          <t>NGS 260106</t>
        </is>
      </c>
      <c r="B105" s="3" t="inlineStr">
        <is>
          <t>Without Analysis</t>
        </is>
      </c>
      <c r="C105" s="4" t="n">
        <v>46156</v>
      </c>
      <c r="D105" s="4" t="n">
        <v>46231</v>
      </c>
      <c r="E105" s="3" t="inlineStr">
        <is>
          <t>Project Closure</t>
        </is>
      </c>
      <c r="F105" s="3" t="n">
        <v>63</v>
      </c>
      <c r="G105" s="3" t="n">
        <v>46219</v>
      </c>
    </row>
    <row r="106">
      <c r="A106" s="3" t="inlineStr">
        <is>
          <t>NGS 260107</t>
        </is>
      </c>
      <c r="B106" s="3" t="inlineStr">
        <is>
          <t>Without Analysis</t>
        </is>
      </c>
      <c r="C106" s="4" t="n">
        <v>46140</v>
      </c>
      <c r="D106" s="4" t="n">
        <v>46231</v>
      </c>
      <c r="E106" s="3" t="inlineStr">
        <is>
          <t>Project Closure</t>
        </is>
      </c>
      <c r="F106" s="3" t="n">
        <v>79</v>
      </c>
      <c r="G106" s="3" t="n">
        <v>46219</v>
      </c>
    </row>
    <row r="107">
      <c r="A107" s="3" t="inlineStr">
        <is>
          <t>NGS 260108</t>
        </is>
      </c>
      <c r="B107" s="3" t="inlineStr">
        <is>
          <t>Without Analysis</t>
        </is>
      </c>
      <c r="C107" s="4" t="n">
        <v>46140</v>
      </c>
      <c r="D107" s="4" t="n">
        <v>46231</v>
      </c>
      <c r="E107" s="3" t="inlineStr">
        <is>
          <t>Project Closure</t>
        </is>
      </c>
      <c r="F107" s="3" t="n">
        <v>79</v>
      </c>
      <c r="G107" s="3" t="n">
        <v>46219</v>
      </c>
    </row>
    <row r="108">
      <c r="A108" s="3" t="inlineStr">
        <is>
          <t>NGS 260109</t>
        </is>
      </c>
      <c r="B108" s="3" t="inlineStr">
        <is>
          <t>Without Analysis</t>
        </is>
      </c>
      <c r="C108" s="4" t="n">
        <v>46200</v>
      </c>
      <c r="D108" s="4" t="n">
        <v>46231</v>
      </c>
      <c r="E108" s="3" t="inlineStr">
        <is>
          <t>Project Closure</t>
        </is>
      </c>
      <c r="F108" s="3" t="n">
        <v>19</v>
      </c>
      <c r="G108" s="3" t="n">
        <v>46219</v>
      </c>
    </row>
    <row r="109">
      <c r="A109" s="3" t="inlineStr">
        <is>
          <t xml:space="preserve">Advance </t>
        </is>
      </c>
      <c r="B109" s="3" t="inlineStr">
        <is>
          <t>0</t>
        </is>
      </c>
      <c r="C109" s="3" t="inlineStr"/>
      <c r="D109" s="4" t="n">
        <v>46231</v>
      </c>
      <c r="E109" s="3" t="inlineStr">
        <is>
          <t>0</t>
        </is>
      </c>
      <c r="F109" s="3" t="n">
        <v>46219</v>
      </c>
      <c r="G109" s="3" t="n">
        <v>46219</v>
      </c>
    </row>
    <row r="110">
      <c r="A110" s="3" t="inlineStr">
        <is>
          <t>NGS 260110</t>
        </is>
      </c>
      <c r="B110" s="3" t="inlineStr">
        <is>
          <t>Without Analysis</t>
        </is>
      </c>
      <c r="C110" s="4" t="n">
        <v>46143</v>
      </c>
      <c r="D110" s="4" t="n">
        <v>46231</v>
      </c>
      <c r="E110" s="3" t="inlineStr">
        <is>
          <t>Project Closure</t>
        </is>
      </c>
      <c r="F110" s="3" t="n">
        <v>76</v>
      </c>
      <c r="G110" s="3" t="n">
        <v>46219</v>
      </c>
    </row>
    <row r="111">
      <c r="A111" s="3" t="inlineStr">
        <is>
          <t>NGS 260111</t>
        </is>
      </c>
      <c r="B111" s="3" t="inlineStr">
        <is>
          <t>Without Analysis</t>
        </is>
      </c>
      <c r="C111" s="4" t="n">
        <v>46127</v>
      </c>
      <c r="D111" s="4" t="n">
        <v>46231</v>
      </c>
      <c r="E111" s="3" t="inlineStr">
        <is>
          <t>Project Closure</t>
        </is>
      </c>
      <c r="F111" s="3" t="n">
        <v>92</v>
      </c>
      <c r="G111" s="3" t="n">
        <v>46219</v>
      </c>
    </row>
    <row r="112">
      <c r="A112" s="3" t="inlineStr">
        <is>
          <t>NGS 260112</t>
        </is>
      </c>
      <c r="B112" s="3" t="inlineStr">
        <is>
          <t>Without Analysis</t>
        </is>
      </c>
      <c r="C112" s="3" t="inlineStr"/>
      <c r="D112" s="4" t="n">
        <v>46231</v>
      </c>
      <c r="E112" s="3" t="inlineStr">
        <is>
          <t>0</t>
        </is>
      </c>
      <c r="F112" s="3" t="n">
        <v>46219</v>
      </c>
      <c r="G112" s="3" t="n">
        <v>46219</v>
      </c>
    </row>
    <row r="113">
      <c r="A113" s="3" t="inlineStr">
        <is>
          <t>NGS 260113</t>
        </is>
      </c>
      <c r="B113" s="3" t="inlineStr">
        <is>
          <t>With Analysis</t>
        </is>
      </c>
      <c r="C113" s="3" t="inlineStr"/>
      <c r="D113" s="4" t="n">
        <v>46146</v>
      </c>
      <c r="E113" s="3" t="inlineStr">
        <is>
          <t>Project Closure</t>
        </is>
      </c>
      <c r="F113" s="3" t="n">
        <v>46219</v>
      </c>
      <c r="G113" s="3" t="n">
        <v>73</v>
      </c>
    </row>
    <row r="114">
      <c r="A114" s="3" t="inlineStr">
        <is>
          <t>NGS 260114</t>
        </is>
      </c>
      <c r="B114" s="3" t="inlineStr">
        <is>
          <t>With Analysis</t>
        </is>
      </c>
      <c r="C114" s="3" t="inlineStr"/>
      <c r="D114" s="4" t="n">
        <v>46231</v>
      </c>
      <c r="E114" s="3" t="inlineStr">
        <is>
          <t>0</t>
        </is>
      </c>
      <c r="F114" s="3" t="n">
        <v>46219</v>
      </c>
      <c r="G114" s="3" t="n">
        <v>46219</v>
      </c>
    </row>
    <row r="115">
      <c r="A115" s="3" t="inlineStr">
        <is>
          <t>NGS 260115</t>
        </is>
      </c>
      <c r="B115" s="3" t="inlineStr">
        <is>
          <t>Without Analysis</t>
        </is>
      </c>
      <c r="C115" s="4" t="n">
        <v>46126</v>
      </c>
      <c r="D115" s="4" t="n">
        <v>46231</v>
      </c>
      <c r="E115" s="3" t="inlineStr">
        <is>
          <t>Project Closure</t>
        </is>
      </c>
      <c r="F115" s="3" t="n">
        <v>93</v>
      </c>
      <c r="G115" s="3" t="n">
        <v>46219</v>
      </c>
    </row>
    <row r="116">
      <c r="A116" s="3" t="inlineStr">
        <is>
          <t>NGS 260116</t>
        </is>
      </c>
      <c r="B116" s="3" t="inlineStr">
        <is>
          <t>With Analysis</t>
        </is>
      </c>
      <c r="C116" s="4" t="n">
        <v>46143</v>
      </c>
      <c r="D116" s="4" t="n">
        <v>46176</v>
      </c>
      <c r="E116" s="3" t="inlineStr">
        <is>
          <t>Project Closure</t>
        </is>
      </c>
      <c r="F116" s="3" t="n">
        <v>76</v>
      </c>
      <c r="G116" s="3" t="n">
        <v>43</v>
      </c>
    </row>
    <row r="117">
      <c r="A117" s="3" t="inlineStr">
        <is>
          <t>NGS 260117</t>
        </is>
      </c>
      <c r="B117" s="3" t="inlineStr">
        <is>
          <t>With Analysis</t>
        </is>
      </c>
      <c r="C117" s="4" t="n">
        <v>46143</v>
      </c>
      <c r="D117" s="4" t="n">
        <v>46176</v>
      </c>
      <c r="E117" s="3" t="inlineStr">
        <is>
          <t>Project Closure</t>
        </is>
      </c>
      <c r="F117" s="3" t="n">
        <v>76</v>
      </c>
      <c r="G117" s="3" t="n">
        <v>43</v>
      </c>
    </row>
    <row r="118">
      <c r="A118" s="3" t="inlineStr">
        <is>
          <t>NGS 260118</t>
        </is>
      </c>
      <c r="B118" s="3" t="inlineStr">
        <is>
          <t>With Analysis</t>
        </is>
      </c>
      <c r="C118" s="3" t="inlineStr"/>
      <c r="D118" s="4" t="n">
        <v>46231</v>
      </c>
      <c r="E118" s="3" t="inlineStr">
        <is>
          <t>0</t>
        </is>
      </c>
      <c r="F118" s="3" t="n">
        <v>46219</v>
      </c>
      <c r="G118" s="3" t="n">
        <v>46219</v>
      </c>
    </row>
    <row r="119">
      <c r="A119" s="3" t="inlineStr">
        <is>
          <t>NGS 260119</t>
        </is>
      </c>
      <c r="B119" s="3" t="inlineStr">
        <is>
          <t>Without Analysis</t>
        </is>
      </c>
      <c r="C119" s="4" t="n">
        <v>46203</v>
      </c>
      <c r="D119" s="4" t="n">
        <v>46231</v>
      </c>
      <c r="E119" s="3" t="inlineStr">
        <is>
          <t>Project Closure</t>
        </is>
      </c>
      <c r="F119" s="3" t="n">
        <v>16</v>
      </c>
      <c r="G119" s="3" t="n">
        <v>46219</v>
      </c>
    </row>
    <row r="120">
      <c r="A120" s="3" t="inlineStr">
        <is>
          <t>NGS 260120</t>
        </is>
      </c>
      <c r="B120" s="3" t="inlineStr">
        <is>
          <t>With Analysis</t>
        </is>
      </c>
      <c r="C120" s="3" t="inlineStr"/>
      <c r="D120" s="4" t="n">
        <v>46183</v>
      </c>
      <c r="E120" s="3" t="inlineStr">
        <is>
          <t>Project Closure</t>
        </is>
      </c>
      <c r="F120" s="3" t="n">
        <v>46219</v>
      </c>
      <c r="G120" s="3" t="n">
        <v>36</v>
      </c>
    </row>
    <row r="121">
      <c r="A121" s="3" t="inlineStr">
        <is>
          <t>NGS 260121</t>
        </is>
      </c>
      <c r="B121" s="3" t="inlineStr">
        <is>
          <t>With Analysis</t>
        </is>
      </c>
      <c r="C121" s="3" t="inlineStr"/>
      <c r="D121" s="4" t="n">
        <v>46183</v>
      </c>
      <c r="E121" s="3" t="inlineStr">
        <is>
          <t>Project Closure</t>
        </is>
      </c>
      <c r="F121" s="3" t="n">
        <v>46219</v>
      </c>
      <c r="G121" s="3" t="n">
        <v>36</v>
      </c>
    </row>
    <row r="122">
      <c r="A122" s="3" t="inlineStr">
        <is>
          <t>NGS 260122</t>
        </is>
      </c>
      <c r="B122" s="3" t="inlineStr">
        <is>
          <t>Without Analysis</t>
        </is>
      </c>
      <c r="C122" s="3" t="inlineStr"/>
      <c r="D122" s="4" t="n">
        <v>46231</v>
      </c>
      <c r="E122" s="3" t="inlineStr">
        <is>
          <t>QC Fail</t>
        </is>
      </c>
      <c r="F122" s="3" t="n">
        <v>46219</v>
      </c>
      <c r="G122" s="3" t="n">
        <v>46219</v>
      </c>
    </row>
    <row r="123">
      <c r="A123" s="3" t="inlineStr">
        <is>
          <t>NGS 260123</t>
        </is>
      </c>
      <c r="B123" s="3" t="inlineStr">
        <is>
          <t>Without Analysis</t>
        </is>
      </c>
      <c r="C123" s="4" t="n">
        <v>46143</v>
      </c>
      <c r="D123" s="4" t="n">
        <v>46231</v>
      </c>
      <c r="E123" s="3" t="inlineStr">
        <is>
          <t>Project Closure</t>
        </is>
      </c>
      <c r="F123" s="3" t="n">
        <v>76</v>
      </c>
      <c r="G123" s="3" t="n">
        <v>46219</v>
      </c>
    </row>
    <row r="124">
      <c r="A124" s="3" t="inlineStr">
        <is>
          <t>NGS 260125</t>
        </is>
      </c>
      <c r="B124" s="3" t="inlineStr">
        <is>
          <t>With Analysis</t>
        </is>
      </c>
      <c r="C124" s="3" t="inlineStr"/>
      <c r="D124" s="4" t="n">
        <v>46198</v>
      </c>
      <c r="E124" s="3" t="inlineStr">
        <is>
          <t>Project Closure</t>
        </is>
      </c>
      <c r="F124" s="3" t="n">
        <v>46219</v>
      </c>
      <c r="G124" s="3" t="n">
        <v>21</v>
      </c>
    </row>
    <row r="125">
      <c r="A125" s="3" t="inlineStr">
        <is>
          <t>NGS 260126</t>
        </is>
      </c>
      <c r="B125" s="3" t="inlineStr">
        <is>
          <t>With Analysis</t>
        </is>
      </c>
      <c r="C125" s="3" t="inlineStr"/>
      <c r="D125" s="4" t="n">
        <v>46198</v>
      </c>
      <c r="E125" s="3" t="inlineStr">
        <is>
          <t>Project Closure</t>
        </is>
      </c>
      <c r="F125" s="3" t="n">
        <v>46219</v>
      </c>
      <c r="G125" s="3" t="n">
        <v>21</v>
      </c>
    </row>
    <row r="126">
      <c r="A126" s="3" t="inlineStr">
        <is>
          <t>NGS 260127</t>
        </is>
      </c>
      <c r="B126" s="3" t="inlineStr">
        <is>
          <t>Without Analysis</t>
        </is>
      </c>
      <c r="C126" s="4" t="n">
        <v>46143</v>
      </c>
      <c r="D126" s="4" t="n">
        <v>46231</v>
      </c>
      <c r="E126" s="3" t="inlineStr">
        <is>
          <t>Project Closure</t>
        </is>
      </c>
      <c r="F126" s="3" t="n">
        <v>76</v>
      </c>
      <c r="G126" s="3" t="n">
        <v>46219</v>
      </c>
    </row>
    <row r="127">
      <c r="A127" s="3" t="inlineStr">
        <is>
          <t>NGS 260128</t>
        </is>
      </c>
      <c r="B127" s="3" t="inlineStr">
        <is>
          <t>Without Analysis</t>
        </is>
      </c>
      <c r="C127" s="4" t="n">
        <v>46143</v>
      </c>
      <c r="D127" s="4" t="n">
        <v>46231</v>
      </c>
      <c r="E127" s="3" t="inlineStr">
        <is>
          <t>Project Closure</t>
        </is>
      </c>
      <c r="F127" s="3" t="n">
        <v>76</v>
      </c>
      <c r="G127" s="3" t="n">
        <v>46219</v>
      </c>
    </row>
    <row r="128">
      <c r="A128" s="3" t="inlineStr">
        <is>
          <t>NGS 260129</t>
        </is>
      </c>
      <c r="B128" s="3" t="inlineStr">
        <is>
          <t>Without Analysis</t>
        </is>
      </c>
      <c r="C128" s="4" t="n">
        <v>46153</v>
      </c>
      <c r="D128" s="4" t="n">
        <v>46231</v>
      </c>
      <c r="E128" s="3" t="inlineStr">
        <is>
          <t>Project Closure</t>
        </is>
      </c>
      <c r="F128" s="3" t="n">
        <v>66</v>
      </c>
      <c r="G128" s="3" t="n">
        <v>46219</v>
      </c>
    </row>
    <row r="129">
      <c r="A129" s="3" t="inlineStr">
        <is>
          <t>NGS 260130</t>
        </is>
      </c>
      <c r="B129" s="3" t="inlineStr">
        <is>
          <t>Without Analysis</t>
        </is>
      </c>
      <c r="C129" s="4" t="n">
        <v>46135</v>
      </c>
      <c r="D129" s="4" t="n">
        <v>46231</v>
      </c>
      <c r="E129" s="3" t="inlineStr">
        <is>
          <t>Project Closure</t>
        </is>
      </c>
      <c r="F129" s="3" t="n">
        <v>84</v>
      </c>
      <c r="G129" s="3" t="n">
        <v>46219</v>
      </c>
    </row>
    <row r="130">
      <c r="A130" s="3" t="inlineStr">
        <is>
          <t>NGS 260131</t>
        </is>
      </c>
      <c r="B130" s="3" t="inlineStr">
        <is>
          <t>Without Analysis</t>
        </is>
      </c>
      <c r="C130" s="4" t="n">
        <v>46182</v>
      </c>
      <c r="D130" s="4" t="n">
        <v>46231</v>
      </c>
      <c r="E130" s="3" t="inlineStr">
        <is>
          <t>Project Closure</t>
        </is>
      </c>
      <c r="F130" s="3" t="n">
        <v>37</v>
      </c>
      <c r="G130" s="3" t="n">
        <v>46219</v>
      </c>
    </row>
    <row r="131">
      <c r="A131" s="3" t="inlineStr">
        <is>
          <t>NGS 260132</t>
        </is>
      </c>
      <c r="B131" s="3" t="inlineStr">
        <is>
          <t>Without Analysis</t>
        </is>
      </c>
      <c r="C131" s="4" t="n">
        <v>46162</v>
      </c>
      <c r="D131" s="4" t="n">
        <v>46231</v>
      </c>
      <c r="E131" s="3" t="inlineStr">
        <is>
          <t>Project Closure</t>
        </is>
      </c>
      <c r="F131" s="3" t="n">
        <v>57</v>
      </c>
      <c r="G131" s="3" t="n">
        <v>46219</v>
      </c>
    </row>
    <row r="132">
      <c r="A132" s="3" t="inlineStr">
        <is>
          <t>NGS 260133</t>
        </is>
      </c>
      <c r="B132" s="3" t="inlineStr">
        <is>
          <t>Without Analysis</t>
        </is>
      </c>
      <c r="C132" s="4" t="n">
        <v>46161</v>
      </c>
      <c r="D132" s="4" t="n">
        <v>46231</v>
      </c>
      <c r="E132" s="3" t="inlineStr">
        <is>
          <t>Project Closure</t>
        </is>
      </c>
      <c r="F132" s="3" t="n">
        <v>58</v>
      </c>
      <c r="G132" s="3" t="n">
        <v>46219</v>
      </c>
    </row>
    <row r="133">
      <c r="A133" s="3" t="inlineStr">
        <is>
          <t>NGS 260134</t>
        </is>
      </c>
      <c r="B133" s="3" t="inlineStr">
        <is>
          <t>Without Analysis</t>
        </is>
      </c>
      <c r="C133" s="4" t="n">
        <v>46143</v>
      </c>
      <c r="D133" s="4" t="n">
        <v>46231</v>
      </c>
      <c r="E133" s="3" t="inlineStr">
        <is>
          <t>Project Closure</t>
        </is>
      </c>
      <c r="F133" s="3" t="n">
        <v>76</v>
      </c>
      <c r="G133" s="3" t="n">
        <v>46219</v>
      </c>
    </row>
    <row r="134">
      <c r="A134" s="3" t="inlineStr">
        <is>
          <t>Re-NGS 260135</t>
        </is>
      </c>
      <c r="B134" s="3" t="inlineStr">
        <is>
          <t>Without Analysis</t>
        </is>
      </c>
      <c r="C134" s="3" t="inlineStr"/>
      <c r="D134" s="4" t="n">
        <v>46231</v>
      </c>
      <c r="E134" s="3" t="inlineStr">
        <is>
          <t>0</t>
        </is>
      </c>
      <c r="F134" s="3" t="n">
        <v>46219</v>
      </c>
      <c r="G134" s="3" t="n">
        <v>46219</v>
      </c>
    </row>
    <row r="135">
      <c r="A135" s="3" t="inlineStr">
        <is>
          <t>NGS 260136</t>
        </is>
      </c>
      <c r="B135" s="3" t="inlineStr">
        <is>
          <t>With Analysis</t>
        </is>
      </c>
      <c r="C135" s="4" t="n">
        <v>46142</v>
      </c>
      <c r="D135" s="4" t="n">
        <v>46172</v>
      </c>
      <c r="E135" s="3" t="inlineStr">
        <is>
          <t>Project Closure</t>
        </is>
      </c>
      <c r="F135" s="3" t="n">
        <v>77</v>
      </c>
      <c r="G135" s="3" t="n">
        <v>47</v>
      </c>
    </row>
    <row r="136">
      <c r="A136" s="3" t="inlineStr">
        <is>
          <t>NGS 260137</t>
        </is>
      </c>
      <c r="B136" s="3" t="inlineStr">
        <is>
          <t>With Analysis</t>
        </is>
      </c>
      <c r="C136" s="3" t="inlineStr"/>
      <c r="D136" s="4" t="n">
        <v>46214</v>
      </c>
      <c r="E136" s="3" t="inlineStr">
        <is>
          <t>Project Closure</t>
        </is>
      </c>
      <c r="F136" s="3" t="n">
        <v>46219</v>
      </c>
      <c r="G136" s="3" t="n">
        <v>5</v>
      </c>
    </row>
    <row r="137">
      <c r="A137" s="3" t="inlineStr">
        <is>
          <t>NGS 260138</t>
        </is>
      </c>
      <c r="B137" s="3" t="inlineStr">
        <is>
          <t>With Analysis</t>
        </is>
      </c>
      <c r="C137" s="3" t="inlineStr"/>
      <c r="D137" s="4" t="n">
        <v>46231</v>
      </c>
      <c r="E137" s="3" t="inlineStr">
        <is>
          <t>0</t>
        </is>
      </c>
      <c r="F137" s="3" t="n">
        <v>46219</v>
      </c>
      <c r="G137" s="3" t="n">
        <v>46219</v>
      </c>
    </row>
    <row r="138">
      <c r="A138" s="3" t="inlineStr">
        <is>
          <t>RE-NGS 260139</t>
        </is>
      </c>
      <c r="B138" s="3" t="inlineStr">
        <is>
          <t>With Analysis</t>
        </is>
      </c>
      <c r="C138" s="3" t="inlineStr"/>
      <c r="D138" s="4" t="n">
        <v>46231</v>
      </c>
      <c r="E138" s="3" t="inlineStr">
        <is>
          <t>0</t>
        </is>
      </c>
      <c r="F138" s="3" t="n">
        <v>46219</v>
      </c>
      <c r="G138" s="3" t="n">
        <v>46219</v>
      </c>
    </row>
    <row r="139">
      <c r="A139" s="3" t="inlineStr">
        <is>
          <t>NGS 260139</t>
        </is>
      </c>
      <c r="B139" s="3" t="inlineStr">
        <is>
          <t>With Analysis</t>
        </is>
      </c>
      <c r="C139" s="3" t="inlineStr"/>
      <c r="D139" s="4" t="n">
        <v>46231</v>
      </c>
      <c r="E139" s="3" t="inlineStr">
        <is>
          <t>0</t>
        </is>
      </c>
      <c r="F139" s="3" t="n">
        <v>46219</v>
      </c>
      <c r="G139" s="3" t="n">
        <v>46219</v>
      </c>
    </row>
    <row r="140">
      <c r="A140" s="3" t="inlineStr">
        <is>
          <t>Re_NGS 260140</t>
        </is>
      </c>
      <c r="B140" s="3" t="inlineStr">
        <is>
          <t>With Analysis</t>
        </is>
      </c>
      <c r="C140" s="3" t="inlineStr"/>
      <c r="D140" s="4" t="n">
        <v>46231</v>
      </c>
      <c r="E140" s="3" t="inlineStr">
        <is>
          <t>QC Fail</t>
        </is>
      </c>
      <c r="F140" s="3" t="n">
        <v>46219</v>
      </c>
      <c r="G140" s="3" t="n">
        <v>46219</v>
      </c>
    </row>
    <row r="141">
      <c r="A141" s="3" t="inlineStr">
        <is>
          <t>NGS 260141</t>
        </is>
      </c>
      <c r="B141" s="3" t="inlineStr">
        <is>
          <t>With Analysis</t>
        </is>
      </c>
      <c r="C141" s="3" t="inlineStr"/>
      <c r="D141" s="4" t="n">
        <v>46231</v>
      </c>
      <c r="E141" s="3" t="inlineStr">
        <is>
          <t>QC Fail</t>
        </is>
      </c>
      <c r="F141" s="3" t="n">
        <v>46219</v>
      </c>
      <c r="G141" s="3" t="n">
        <v>46219</v>
      </c>
    </row>
    <row r="142">
      <c r="A142" s="3" t="inlineStr">
        <is>
          <t>NGS 260142</t>
        </is>
      </c>
      <c r="B142" s="3" t="inlineStr">
        <is>
          <t>Without Analysis</t>
        </is>
      </c>
      <c r="C142" s="4" t="n">
        <v>46163</v>
      </c>
      <c r="D142" s="4" t="n">
        <v>46231</v>
      </c>
      <c r="E142" s="3" t="inlineStr">
        <is>
          <t>Project Closure</t>
        </is>
      </c>
      <c r="F142" s="3" t="n">
        <v>56</v>
      </c>
      <c r="G142" s="3" t="n">
        <v>46219</v>
      </c>
    </row>
    <row r="143">
      <c r="A143" s="3" t="inlineStr">
        <is>
          <t>NGS 260143</t>
        </is>
      </c>
      <c r="B143" s="3" t="inlineStr">
        <is>
          <t>With Analysis</t>
        </is>
      </c>
      <c r="C143" s="3" t="inlineStr"/>
      <c r="D143" s="4" t="n">
        <v>46231</v>
      </c>
      <c r="E143" s="3" t="inlineStr">
        <is>
          <t>0</t>
        </is>
      </c>
      <c r="F143" s="3" t="n">
        <v>46219</v>
      </c>
      <c r="G143" s="3" t="n">
        <v>46219</v>
      </c>
    </row>
    <row r="144">
      <c r="A144" s="3" t="inlineStr">
        <is>
          <t>NGS 260144</t>
        </is>
      </c>
      <c r="B144" s="3" t="inlineStr">
        <is>
          <t>With Analysis</t>
        </is>
      </c>
      <c r="C144" s="3" t="inlineStr"/>
      <c r="D144" s="4" t="n">
        <v>46231</v>
      </c>
      <c r="E144" s="3" t="inlineStr">
        <is>
          <t>0</t>
        </is>
      </c>
      <c r="F144" s="3" t="n">
        <v>46219</v>
      </c>
      <c r="G144" s="3" t="n">
        <v>46219</v>
      </c>
    </row>
    <row r="145">
      <c r="A145" s="3" t="inlineStr">
        <is>
          <t>NGS 260145</t>
        </is>
      </c>
      <c r="B145" s="3" t="inlineStr">
        <is>
          <t>Without Analysis</t>
        </is>
      </c>
      <c r="C145" s="4" t="n">
        <v>46156</v>
      </c>
      <c r="D145" s="4" t="n">
        <v>46231</v>
      </c>
      <c r="E145" s="3" t="inlineStr">
        <is>
          <t>Project Closure</t>
        </is>
      </c>
      <c r="F145" s="3" t="n">
        <v>63</v>
      </c>
      <c r="G145" s="3" t="n">
        <v>46219</v>
      </c>
    </row>
    <row r="146">
      <c r="A146" s="3" t="inlineStr">
        <is>
          <t>NGS 260146</t>
        </is>
      </c>
      <c r="B146" s="3" t="inlineStr">
        <is>
          <t>Without Analysis</t>
        </is>
      </c>
      <c r="C146" s="4" t="n">
        <v>46147</v>
      </c>
      <c r="D146" s="4" t="n">
        <v>46231</v>
      </c>
      <c r="E146" s="3" t="inlineStr">
        <is>
          <t>Project Closure</t>
        </is>
      </c>
      <c r="F146" s="3" t="n">
        <v>72</v>
      </c>
      <c r="G146" s="3" t="n">
        <v>46219</v>
      </c>
    </row>
    <row r="147">
      <c r="A147" s="3" t="inlineStr">
        <is>
          <t>Re-NGS 260147</t>
        </is>
      </c>
      <c r="B147" s="3" t="inlineStr">
        <is>
          <t>With Analysis</t>
        </is>
      </c>
      <c r="C147" s="3" t="inlineStr"/>
      <c r="D147" s="4" t="n">
        <v>46231</v>
      </c>
      <c r="E147" s="3" t="inlineStr">
        <is>
          <t>QC Fail</t>
        </is>
      </c>
      <c r="F147" s="3" t="n">
        <v>46219</v>
      </c>
      <c r="G147" s="3" t="n">
        <v>46219</v>
      </c>
    </row>
    <row r="148">
      <c r="A148" s="3" t="inlineStr">
        <is>
          <t>NGS 260148</t>
        </is>
      </c>
      <c r="B148" s="3" t="inlineStr">
        <is>
          <t>With Analysis</t>
        </is>
      </c>
      <c r="C148" s="3" t="inlineStr"/>
      <c r="D148" s="4" t="n">
        <v>46199</v>
      </c>
      <c r="E148" s="3" t="inlineStr">
        <is>
          <t>Project Closure</t>
        </is>
      </c>
      <c r="F148" s="3" t="n">
        <v>46219</v>
      </c>
      <c r="G148" s="3" t="n">
        <v>20</v>
      </c>
    </row>
    <row r="149">
      <c r="A149" s="3" t="inlineStr">
        <is>
          <t>NGS 260149</t>
        </is>
      </c>
      <c r="B149" s="3" t="inlineStr">
        <is>
          <t>With Analysis</t>
        </is>
      </c>
      <c r="C149" s="3" t="inlineStr"/>
      <c r="D149" s="4" t="n">
        <v>46231</v>
      </c>
      <c r="E149" s="3" t="inlineStr">
        <is>
          <t>Cancel Project ()</t>
        </is>
      </c>
      <c r="F149" s="3" t="n">
        <v>46219</v>
      </c>
      <c r="G149" s="3" t="n">
        <v>46219</v>
      </c>
    </row>
    <row r="150">
      <c r="A150" s="3" t="inlineStr">
        <is>
          <t>Re-NGS 260150</t>
        </is>
      </c>
      <c r="B150" s="3" t="inlineStr">
        <is>
          <t>With Analysis</t>
        </is>
      </c>
      <c r="C150" s="3" t="inlineStr"/>
      <c r="D150" s="4" t="n">
        <v>46231</v>
      </c>
      <c r="E150" s="3" t="inlineStr">
        <is>
          <t>0</t>
        </is>
      </c>
      <c r="F150" s="3" t="n">
        <v>46219</v>
      </c>
      <c r="G150" s="3" t="n">
        <v>46219</v>
      </c>
    </row>
    <row r="151">
      <c r="A151" s="3" t="inlineStr">
        <is>
          <t>NGS 260151</t>
        </is>
      </c>
      <c r="B151" s="3" t="inlineStr">
        <is>
          <t>With Analysis</t>
        </is>
      </c>
      <c r="C151" s="3" t="inlineStr"/>
      <c r="D151" s="4" t="n">
        <v>46231</v>
      </c>
      <c r="E151" s="3" t="inlineStr">
        <is>
          <t>QC Fail</t>
        </is>
      </c>
      <c r="F151" s="3" t="n">
        <v>46219</v>
      </c>
      <c r="G151" s="3" t="n">
        <v>46219</v>
      </c>
    </row>
    <row r="152">
      <c r="A152" s="3" t="inlineStr">
        <is>
          <t>NGS 260152</t>
        </is>
      </c>
      <c r="B152" s="3" t="inlineStr">
        <is>
          <t>Without Analysis</t>
        </is>
      </c>
      <c r="C152" s="4" t="n">
        <v>46163</v>
      </c>
      <c r="D152" s="4" t="n">
        <v>46231</v>
      </c>
      <c r="E152" s="3" t="inlineStr">
        <is>
          <t>Project Closure</t>
        </is>
      </c>
      <c r="F152" s="3" t="n">
        <v>56</v>
      </c>
      <c r="G152" s="3" t="n">
        <v>46219</v>
      </c>
    </row>
    <row r="153">
      <c r="A153" s="3" t="inlineStr">
        <is>
          <t>Re-NGS 260153</t>
        </is>
      </c>
      <c r="B153" s="3" t="inlineStr">
        <is>
          <t>With Analysis</t>
        </is>
      </c>
      <c r="C153" s="3" t="inlineStr"/>
      <c r="D153" s="4" t="n">
        <v>46231</v>
      </c>
      <c r="E153" s="3" t="inlineStr">
        <is>
          <t>0</t>
        </is>
      </c>
      <c r="F153" s="3" t="n">
        <v>46219</v>
      </c>
      <c r="G153" s="3" t="n">
        <v>46219</v>
      </c>
    </row>
    <row r="154">
      <c r="A154" s="3" t="inlineStr">
        <is>
          <t>Re-NGS 260154</t>
        </is>
      </c>
      <c r="B154" s="3" t="inlineStr">
        <is>
          <t>With Analysis</t>
        </is>
      </c>
      <c r="C154" s="3" t="inlineStr"/>
      <c r="D154" s="4" t="n">
        <v>46231</v>
      </c>
      <c r="E154" s="3" t="inlineStr">
        <is>
          <t>0</t>
        </is>
      </c>
      <c r="F154" s="3" t="n">
        <v>46219</v>
      </c>
      <c r="G154" s="3" t="n">
        <v>46219</v>
      </c>
    </row>
    <row r="155">
      <c r="A155" s="3" t="inlineStr">
        <is>
          <t>NGS 260155</t>
        </is>
      </c>
      <c r="B155" s="3" t="inlineStr">
        <is>
          <t>With Analysis</t>
        </is>
      </c>
      <c r="C155" s="3" t="inlineStr"/>
      <c r="D155" s="4" t="n">
        <v>46183</v>
      </c>
      <c r="E155" s="3" t="inlineStr">
        <is>
          <t>Project Closure</t>
        </is>
      </c>
      <c r="F155" s="3" t="n">
        <v>46219</v>
      </c>
      <c r="G155" s="3" t="n">
        <v>36</v>
      </c>
    </row>
    <row r="156">
      <c r="A156" s="3" t="inlineStr">
        <is>
          <t>NGS 260156</t>
        </is>
      </c>
      <c r="B156" s="3" t="inlineStr">
        <is>
          <t>Without Analysis</t>
        </is>
      </c>
      <c r="C156" s="3" t="inlineStr"/>
      <c r="D156" s="4" t="n">
        <v>46231</v>
      </c>
      <c r="E156" s="3" t="inlineStr">
        <is>
          <t>Project Closure</t>
        </is>
      </c>
      <c r="F156" s="3" t="n">
        <v>46219</v>
      </c>
      <c r="G156" s="3" t="n">
        <v>46219</v>
      </c>
    </row>
    <row r="157">
      <c r="A157" s="3" t="inlineStr">
        <is>
          <t>NGS 260157</t>
        </is>
      </c>
      <c r="B157" s="3" t="inlineStr">
        <is>
          <t>Without Analysis</t>
        </is>
      </c>
      <c r="C157" s="4" t="n">
        <v>46165</v>
      </c>
      <c r="D157" s="4" t="n">
        <v>46231</v>
      </c>
      <c r="E157" s="3" t="inlineStr">
        <is>
          <t>Project Closure</t>
        </is>
      </c>
      <c r="F157" s="3" t="n">
        <v>54</v>
      </c>
      <c r="G157" s="3" t="n">
        <v>46219</v>
      </c>
    </row>
    <row r="158">
      <c r="A158" s="3" t="inlineStr">
        <is>
          <t>NGS 260158</t>
        </is>
      </c>
      <c r="B158" s="3" t="inlineStr">
        <is>
          <t>Without Analysis</t>
        </is>
      </c>
      <c r="C158" s="4" t="n">
        <v>46165</v>
      </c>
      <c r="D158" s="4" t="n">
        <v>46231</v>
      </c>
      <c r="E158" s="3" t="inlineStr">
        <is>
          <t>Project Closure</t>
        </is>
      </c>
      <c r="F158" s="3" t="n">
        <v>54</v>
      </c>
      <c r="G158" s="3" t="n">
        <v>46219</v>
      </c>
    </row>
    <row r="159">
      <c r="A159" s="3" t="inlineStr">
        <is>
          <t>NGS 260159</t>
        </is>
      </c>
      <c r="B159" s="3" t="inlineStr">
        <is>
          <t>Without Analysis</t>
        </is>
      </c>
      <c r="C159" s="4" t="n">
        <v>46168</v>
      </c>
      <c r="D159" s="4" t="n">
        <v>46231</v>
      </c>
      <c r="E159" s="3" t="inlineStr">
        <is>
          <t>Project Closure</t>
        </is>
      </c>
      <c r="F159" s="3" t="n">
        <v>51</v>
      </c>
      <c r="G159" s="3" t="n">
        <v>46219</v>
      </c>
    </row>
    <row r="160">
      <c r="A160" s="3" t="inlineStr">
        <is>
          <t>NGS 260160</t>
        </is>
      </c>
      <c r="B160" s="3" t="inlineStr">
        <is>
          <t>Without Analysis</t>
        </is>
      </c>
      <c r="C160" s="4" t="n">
        <v>46207</v>
      </c>
      <c r="D160" s="4" t="n">
        <v>46231</v>
      </c>
      <c r="E160" s="3" t="inlineStr">
        <is>
          <t>Project Closure</t>
        </is>
      </c>
      <c r="F160" s="3" t="n">
        <v>12</v>
      </c>
      <c r="G160" s="3" t="n">
        <v>46219</v>
      </c>
    </row>
    <row r="161">
      <c r="A161" s="3" t="inlineStr">
        <is>
          <t>NGS 260161</t>
        </is>
      </c>
      <c r="B161" s="3" t="inlineStr">
        <is>
          <t>With Analysis</t>
        </is>
      </c>
      <c r="C161" s="3" t="inlineStr"/>
      <c r="D161" s="4" t="n">
        <v>46199</v>
      </c>
      <c r="E161" s="3" t="inlineStr">
        <is>
          <t>Project Closure</t>
        </is>
      </c>
      <c r="F161" s="3" t="n">
        <v>46219</v>
      </c>
      <c r="G161" s="3" t="n">
        <v>20</v>
      </c>
    </row>
    <row r="162">
      <c r="A162" s="3" t="inlineStr">
        <is>
          <t>NGS 260162</t>
        </is>
      </c>
      <c r="B162" s="3" t="inlineStr">
        <is>
          <t>With Analysis</t>
        </is>
      </c>
      <c r="C162" s="3" t="inlineStr"/>
      <c r="D162" s="4" t="n">
        <v>46190</v>
      </c>
      <c r="E162" s="3" t="inlineStr">
        <is>
          <t>Project Closure</t>
        </is>
      </c>
      <c r="F162" s="3" t="n">
        <v>46219</v>
      </c>
      <c r="G162" s="3" t="n">
        <v>29</v>
      </c>
    </row>
    <row r="163">
      <c r="A163" s="3" t="inlineStr">
        <is>
          <t>NGS 260163</t>
        </is>
      </c>
      <c r="B163" s="3" t="inlineStr">
        <is>
          <t>With Analysis</t>
        </is>
      </c>
      <c r="C163" s="3" t="inlineStr"/>
      <c r="D163" s="4" t="n">
        <v>46199</v>
      </c>
      <c r="E163" s="3" t="inlineStr">
        <is>
          <t>Project Closure</t>
        </is>
      </c>
      <c r="F163" s="3" t="n">
        <v>46219</v>
      </c>
      <c r="G163" s="3" t="n">
        <v>20</v>
      </c>
    </row>
    <row r="164">
      <c r="A164" s="3" t="inlineStr">
        <is>
          <t>NGS 260164</t>
        </is>
      </c>
      <c r="B164" s="3" t="inlineStr">
        <is>
          <t>Without Analysis</t>
        </is>
      </c>
      <c r="C164" s="3" t="inlineStr"/>
      <c r="D164" s="4" t="n">
        <v>46231</v>
      </c>
      <c r="E164" s="3" t="inlineStr">
        <is>
          <t>Sufalam</t>
        </is>
      </c>
      <c r="F164" s="3" t="n">
        <v>46219</v>
      </c>
      <c r="G164" s="3" t="n">
        <v>46219</v>
      </c>
    </row>
    <row r="165">
      <c r="A165" s="3" t="inlineStr">
        <is>
          <t>NGS 260165</t>
        </is>
      </c>
      <c r="B165" s="3" t="inlineStr">
        <is>
          <t>Without Analysis</t>
        </is>
      </c>
      <c r="C165" s="3" t="inlineStr"/>
      <c r="D165" s="4" t="n">
        <v>46231</v>
      </c>
      <c r="E165" s="3" t="inlineStr">
        <is>
          <t>0</t>
        </is>
      </c>
      <c r="F165" s="3" t="n">
        <v>46219</v>
      </c>
      <c r="G165" s="3" t="n">
        <v>46219</v>
      </c>
    </row>
    <row r="166">
      <c r="A166" s="3" t="inlineStr">
        <is>
          <t>NGS 260166</t>
        </is>
      </c>
      <c r="B166" s="3" t="inlineStr">
        <is>
          <t>With Analysis</t>
        </is>
      </c>
      <c r="C166" s="3" t="inlineStr"/>
      <c r="D166" s="4" t="n">
        <v>46205</v>
      </c>
      <c r="E166" s="3" t="inlineStr">
        <is>
          <t>Project Closure</t>
        </is>
      </c>
      <c r="F166" s="3" t="n">
        <v>46219</v>
      </c>
      <c r="G166" s="3" t="n">
        <v>14</v>
      </c>
    </row>
    <row r="167">
      <c r="A167" s="3" t="inlineStr">
        <is>
          <t>NGS 260167</t>
        </is>
      </c>
      <c r="B167" s="3" t="inlineStr">
        <is>
          <t>With Analysis</t>
        </is>
      </c>
      <c r="C167" s="3" t="inlineStr"/>
      <c r="D167" s="4" t="n">
        <v>46231</v>
      </c>
      <c r="E167" s="3" t="inlineStr">
        <is>
          <t>0</t>
        </is>
      </c>
      <c r="F167" s="3" t="n">
        <v>46219</v>
      </c>
      <c r="G167" s="3" t="n">
        <v>46219</v>
      </c>
    </row>
    <row r="168">
      <c r="A168" s="3" t="inlineStr">
        <is>
          <t>NGS 260168</t>
        </is>
      </c>
      <c r="B168" s="3" t="inlineStr">
        <is>
          <t>With Analysis</t>
        </is>
      </c>
      <c r="C168" s="3" t="inlineStr"/>
      <c r="D168" s="4" t="n">
        <v>46231</v>
      </c>
      <c r="E168" s="3" t="inlineStr">
        <is>
          <t>0</t>
        </is>
      </c>
      <c r="F168" s="3" t="n">
        <v>46219</v>
      </c>
      <c r="G168" s="3" t="n">
        <v>46219</v>
      </c>
    </row>
    <row r="169">
      <c r="A169" s="3" t="inlineStr">
        <is>
          <t>NGS 260169</t>
        </is>
      </c>
      <c r="B169" s="3" t="inlineStr">
        <is>
          <t>With Analysis</t>
        </is>
      </c>
      <c r="C169" s="3" t="inlineStr"/>
      <c r="D169" s="4" t="n">
        <v>46231</v>
      </c>
      <c r="E169" s="3" t="inlineStr">
        <is>
          <t>0</t>
        </is>
      </c>
      <c r="F169" s="3" t="n">
        <v>46219</v>
      </c>
      <c r="G169" s="3" t="n">
        <v>46219</v>
      </c>
    </row>
    <row r="170">
      <c r="A170" s="3" t="inlineStr">
        <is>
          <t>NGS 260170</t>
        </is>
      </c>
      <c r="B170" s="3" t="inlineStr">
        <is>
          <t>With Analysis</t>
        </is>
      </c>
      <c r="C170" s="3" t="inlineStr"/>
      <c r="D170" s="4" t="n">
        <v>46196</v>
      </c>
      <c r="E170" s="3" t="inlineStr">
        <is>
          <t>0</t>
        </is>
      </c>
      <c r="F170" s="3" t="n">
        <v>46219</v>
      </c>
      <c r="G170" s="3" t="n">
        <v>23</v>
      </c>
    </row>
    <row r="171">
      <c r="A171" s="3" t="inlineStr">
        <is>
          <t>NGS 260171</t>
        </is>
      </c>
      <c r="B171" s="3" t="inlineStr">
        <is>
          <t>With Analysis</t>
        </is>
      </c>
      <c r="C171" s="3" t="inlineStr"/>
      <c r="D171" s="4" t="n">
        <v>46209</v>
      </c>
      <c r="E171" s="3" t="inlineStr">
        <is>
          <t>Project Closure</t>
        </is>
      </c>
      <c r="F171" s="3" t="n">
        <v>46219</v>
      </c>
      <c r="G171" s="3" t="n">
        <v>10</v>
      </c>
    </row>
    <row r="172">
      <c r="A172" s="3" t="inlineStr">
        <is>
          <t>NGS 260172</t>
        </is>
      </c>
      <c r="B172" s="3" t="inlineStr">
        <is>
          <t>With Analysis</t>
        </is>
      </c>
      <c r="C172" s="3" t="inlineStr"/>
      <c r="D172" s="4" t="n">
        <v>46231</v>
      </c>
      <c r="E172" s="3" t="inlineStr">
        <is>
          <t>0</t>
        </is>
      </c>
      <c r="F172" s="3" t="n">
        <v>46219</v>
      </c>
      <c r="G172" s="3" t="n">
        <v>46219</v>
      </c>
    </row>
    <row r="173">
      <c r="A173" s="3" t="inlineStr">
        <is>
          <t>NGS 260174</t>
        </is>
      </c>
      <c r="B173" s="3" t="inlineStr">
        <is>
          <t>Without Analysis</t>
        </is>
      </c>
      <c r="C173" s="3" t="inlineStr"/>
      <c r="D173" s="4" t="n">
        <v>46231</v>
      </c>
      <c r="E173" s="3" t="inlineStr">
        <is>
          <t>0</t>
        </is>
      </c>
      <c r="F173" s="3" t="n">
        <v>46219</v>
      </c>
      <c r="G173" s="3" t="n">
        <v>46219</v>
      </c>
    </row>
    <row r="174">
      <c r="A174" s="3" t="inlineStr">
        <is>
          <t>NGS 260175</t>
        </is>
      </c>
      <c r="B174" s="3" t="inlineStr">
        <is>
          <t>With Analysis</t>
        </is>
      </c>
      <c r="C174" s="3" t="inlineStr"/>
      <c r="D174" s="4" t="n">
        <v>46231</v>
      </c>
      <c r="E174" s="3" t="inlineStr">
        <is>
          <t>0</t>
        </is>
      </c>
      <c r="F174" s="3" t="n">
        <v>46219</v>
      </c>
      <c r="G174" s="3" t="n">
        <v>46219</v>
      </c>
    </row>
    <row r="175">
      <c r="A175" s="3" t="inlineStr">
        <is>
          <t>NGS 260176</t>
        </is>
      </c>
      <c r="B175" s="3" t="inlineStr">
        <is>
          <t>With Analysis</t>
        </is>
      </c>
      <c r="C175" s="3" t="inlineStr"/>
      <c r="D175" s="4" t="n">
        <v>46212</v>
      </c>
      <c r="E175" s="3" t="inlineStr">
        <is>
          <t>Project Closure</t>
        </is>
      </c>
      <c r="F175" s="3" t="n">
        <v>46219</v>
      </c>
      <c r="G175" s="3" t="n">
        <v>7</v>
      </c>
    </row>
    <row r="176">
      <c r="A176" s="3" t="inlineStr">
        <is>
          <t>NGS 260177</t>
        </is>
      </c>
      <c r="B176" s="3" t="inlineStr">
        <is>
          <t>Without Analysis</t>
        </is>
      </c>
      <c r="C176" s="3" t="inlineStr"/>
      <c r="D176" s="4" t="n">
        <v>46231</v>
      </c>
      <c r="E176" s="3" t="inlineStr">
        <is>
          <t>0</t>
        </is>
      </c>
      <c r="F176" s="3" t="n">
        <v>46219</v>
      </c>
      <c r="G176" s="3" t="n">
        <v>46219</v>
      </c>
    </row>
    <row r="177">
      <c r="A177" s="3" t="inlineStr">
        <is>
          <t>NGS 260178</t>
        </is>
      </c>
      <c r="B177" s="3" t="inlineStr">
        <is>
          <t>Without Analysis</t>
        </is>
      </c>
      <c r="C177" s="3" t="inlineStr"/>
      <c r="D177" s="4" t="n">
        <v>46231</v>
      </c>
      <c r="E177" s="3" t="inlineStr">
        <is>
          <t>0</t>
        </is>
      </c>
      <c r="F177" s="3" t="n">
        <v>46219</v>
      </c>
      <c r="G177" s="3" t="n">
        <v>46219</v>
      </c>
    </row>
    <row r="178">
      <c r="A178" s="3" t="inlineStr">
        <is>
          <t>NGS 260179</t>
        </is>
      </c>
      <c r="B178" s="3" t="inlineStr">
        <is>
          <t>Without Analysis</t>
        </is>
      </c>
      <c r="C178" s="3" t="inlineStr"/>
      <c r="D178" s="4" t="n">
        <v>46231</v>
      </c>
      <c r="E178" s="3" t="inlineStr">
        <is>
          <t>0</t>
        </is>
      </c>
      <c r="F178" s="3" t="n">
        <v>46219</v>
      </c>
      <c r="G178" s="3" t="n">
        <v>46219</v>
      </c>
    </row>
    <row r="179">
      <c r="A179" s="3" t="inlineStr">
        <is>
          <t>NGS 260180</t>
        </is>
      </c>
      <c r="B179" s="3" t="inlineStr">
        <is>
          <t>Without Analysis</t>
        </is>
      </c>
      <c r="C179" s="3" t="inlineStr"/>
      <c r="D179" s="4" t="n">
        <v>46231</v>
      </c>
      <c r="E179" s="3" t="inlineStr">
        <is>
          <t>0</t>
        </is>
      </c>
      <c r="F179" s="3" t="n">
        <v>46219</v>
      </c>
      <c r="G179" s="3" t="n">
        <v>46219</v>
      </c>
    </row>
    <row r="180">
      <c r="A180" s="3" t="inlineStr">
        <is>
          <t>NGS 260181</t>
        </is>
      </c>
      <c r="B180" s="3" t="inlineStr">
        <is>
          <t>With Analysis</t>
        </is>
      </c>
      <c r="C180" s="3" t="inlineStr"/>
      <c r="D180" s="4" t="n">
        <v>46199</v>
      </c>
      <c r="E180" s="3" t="inlineStr">
        <is>
          <t>Project Closure</t>
        </is>
      </c>
      <c r="F180" s="3" t="n">
        <v>46219</v>
      </c>
      <c r="G180" s="3" t="n">
        <v>20</v>
      </c>
    </row>
    <row r="181">
      <c r="A181" s="3" t="inlineStr">
        <is>
          <t>NGS 260182</t>
        </is>
      </c>
      <c r="B181" s="3" t="inlineStr">
        <is>
          <t>With Analysis</t>
        </is>
      </c>
      <c r="C181" s="3" t="inlineStr"/>
      <c r="D181" s="4" t="n">
        <v>46205</v>
      </c>
      <c r="E181" s="3" t="inlineStr">
        <is>
          <t>Project Closure</t>
        </is>
      </c>
      <c r="F181" s="3" t="n">
        <v>46219</v>
      </c>
      <c r="G181" s="3" t="n">
        <v>14</v>
      </c>
    </row>
    <row r="182">
      <c r="A182" s="3" t="inlineStr">
        <is>
          <t>NGS 260183</t>
        </is>
      </c>
      <c r="B182" s="3" t="inlineStr">
        <is>
          <t>With Analysis</t>
        </is>
      </c>
      <c r="C182" s="3" t="inlineStr"/>
      <c r="D182" s="4" t="n">
        <v>46231</v>
      </c>
      <c r="E182" s="3" t="inlineStr">
        <is>
          <t>0</t>
        </is>
      </c>
      <c r="F182" s="3" t="n">
        <v>46219</v>
      </c>
      <c r="G182" s="3" t="n">
        <v>46219</v>
      </c>
    </row>
    <row r="183">
      <c r="A183" s="3" t="inlineStr">
        <is>
          <t>NGS 260184</t>
        </is>
      </c>
      <c r="B183" s="3" t="inlineStr">
        <is>
          <t>0</t>
        </is>
      </c>
      <c r="C183" s="3" t="inlineStr"/>
      <c r="D183" s="4" t="n">
        <v>46231</v>
      </c>
      <c r="E183" s="3" t="inlineStr">
        <is>
          <t>0</t>
        </is>
      </c>
      <c r="F183" s="3" t="n">
        <v>46219</v>
      </c>
      <c r="G183" s="3" t="n">
        <v>46219</v>
      </c>
    </row>
    <row r="184">
      <c r="A184" s="3" t="inlineStr">
        <is>
          <t>NGS 260185</t>
        </is>
      </c>
      <c r="B184" s="3" t="inlineStr">
        <is>
          <t>With Analysis</t>
        </is>
      </c>
      <c r="C184" s="3" t="inlineStr"/>
      <c r="D184" s="4" t="n">
        <v>46200</v>
      </c>
      <c r="E184" s="3" t="inlineStr">
        <is>
          <t>Project Closure</t>
        </is>
      </c>
      <c r="F184" s="3" t="n">
        <v>46219</v>
      </c>
      <c r="G184" s="3" t="n">
        <v>19</v>
      </c>
    </row>
    <row r="185">
      <c r="A185" s="3" t="inlineStr">
        <is>
          <t>NGS 260186</t>
        </is>
      </c>
      <c r="B185" s="3" t="inlineStr">
        <is>
          <t>Without Analysis</t>
        </is>
      </c>
      <c r="C185" s="3" t="inlineStr"/>
      <c r="D185" s="4" t="n">
        <v>46231</v>
      </c>
      <c r="E185" s="3" t="inlineStr">
        <is>
          <t>0</t>
        </is>
      </c>
      <c r="F185" s="3" t="n">
        <v>46219</v>
      </c>
      <c r="G185" s="3" t="n">
        <v>46219</v>
      </c>
    </row>
    <row r="186">
      <c r="A186" s="3" t="inlineStr">
        <is>
          <t>NGS 260187</t>
        </is>
      </c>
      <c r="B186" s="3" t="inlineStr">
        <is>
          <t>With Analysis</t>
        </is>
      </c>
      <c r="C186" s="3" t="inlineStr"/>
      <c r="D186" s="4" t="n">
        <v>46200</v>
      </c>
      <c r="E186" s="3" t="inlineStr">
        <is>
          <t>Project Closure</t>
        </is>
      </c>
      <c r="F186" s="3" t="n">
        <v>46219</v>
      </c>
      <c r="G186" s="3" t="n">
        <v>19</v>
      </c>
    </row>
    <row r="187">
      <c r="A187" s="3" t="inlineStr">
        <is>
          <t>NGS 260188</t>
        </is>
      </c>
      <c r="B187" s="3" t="inlineStr">
        <is>
          <t>With Analysis</t>
        </is>
      </c>
      <c r="C187" s="4" t="n">
        <v>46193</v>
      </c>
      <c r="D187" s="4" t="n">
        <v>46205</v>
      </c>
      <c r="E187" s="3" t="inlineStr">
        <is>
          <t>Project Closure</t>
        </is>
      </c>
      <c r="F187" s="3" t="n">
        <v>26</v>
      </c>
      <c r="G187" s="3" t="n">
        <v>14</v>
      </c>
    </row>
    <row r="188">
      <c r="A188" s="3" t="inlineStr">
        <is>
          <t>NGS 260190</t>
        </is>
      </c>
      <c r="B188" s="3" t="inlineStr">
        <is>
          <t>With Analysis</t>
        </is>
      </c>
      <c r="C188" s="3" t="inlineStr"/>
      <c r="D188" s="4" t="n">
        <v>46231</v>
      </c>
      <c r="E188" s="3" t="inlineStr">
        <is>
          <t>0</t>
        </is>
      </c>
      <c r="F188" s="3" t="n">
        <v>46219</v>
      </c>
      <c r="G188" s="3" t="n">
        <v>46219</v>
      </c>
    </row>
    <row r="189">
      <c r="A189" s="3" t="inlineStr">
        <is>
          <t>NGS 260191</t>
        </is>
      </c>
      <c r="B189" s="3" t="inlineStr">
        <is>
          <t>Without Analysis</t>
        </is>
      </c>
      <c r="C189" s="3" t="inlineStr"/>
      <c r="D189" s="4" t="n">
        <v>46231</v>
      </c>
      <c r="E189" s="3" t="inlineStr">
        <is>
          <t>0</t>
        </is>
      </c>
      <c r="F189" s="3" t="n">
        <v>46219</v>
      </c>
      <c r="G189" s="3" t="n">
        <v>46219</v>
      </c>
    </row>
    <row r="190">
      <c r="A190" s="3" t="inlineStr">
        <is>
          <t>NGS 260192</t>
        </is>
      </c>
      <c r="B190" s="3" t="inlineStr">
        <is>
          <t>With Analysis</t>
        </is>
      </c>
      <c r="C190" s="3" t="inlineStr"/>
      <c r="D190" s="4" t="n">
        <v>46231</v>
      </c>
      <c r="E190" s="3" t="inlineStr">
        <is>
          <t>0</t>
        </is>
      </c>
      <c r="F190" s="3" t="n">
        <v>46219</v>
      </c>
      <c r="G190" s="3" t="n">
        <v>46219</v>
      </c>
    </row>
    <row r="191">
      <c r="A191" s="3" t="inlineStr">
        <is>
          <t>NGS 260193</t>
        </is>
      </c>
      <c r="B191" s="3" t="inlineStr">
        <is>
          <t>With Analysis</t>
        </is>
      </c>
      <c r="C191" s="3" t="inlineStr"/>
      <c r="D191" s="4" t="n">
        <v>46231</v>
      </c>
      <c r="E191" s="3" t="inlineStr">
        <is>
          <t>0</t>
        </is>
      </c>
      <c r="F191" s="3" t="n">
        <v>46219</v>
      </c>
      <c r="G191" s="3" t="n">
        <v>46219</v>
      </c>
    </row>
    <row r="192">
      <c r="A192" s="3" t="inlineStr">
        <is>
          <t>NGS 260194</t>
        </is>
      </c>
      <c r="B192" s="3" t="inlineStr">
        <is>
          <t>With Analysis</t>
        </is>
      </c>
      <c r="C192" s="3" t="inlineStr"/>
      <c r="D192" s="4" t="n">
        <v>46231</v>
      </c>
      <c r="E192" s="3" t="inlineStr">
        <is>
          <t>0</t>
        </is>
      </c>
      <c r="F192" s="3" t="n">
        <v>46219</v>
      </c>
      <c r="G192" s="3" t="n">
        <v>46219</v>
      </c>
    </row>
    <row r="193">
      <c r="A193" s="3" t="inlineStr">
        <is>
          <t>NGS 260195</t>
        </is>
      </c>
      <c r="B193" s="3" t="inlineStr">
        <is>
          <t>With Analysis</t>
        </is>
      </c>
      <c r="C193" s="3" t="inlineStr"/>
      <c r="D193" s="4" t="n">
        <v>46231</v>
      </c>
      <c r="E193" s="3" t="inlineStr">
        <is>
          <t>0</t>
        </is>
      </c>
      <c r="F193" s="3" t="n">
        <v>46219</v>
      </c>
      <c r="G193" s="3" t="n">
        <v>46219</v>
      </c>
    </row>
    <row r="194">
      <c r="A194" s="3" t="inlineStr">
        <is>
          <t>NGS 260196</t>
        </is>
      </c>
      <c r="B194" s="3" t="inlineStr">
        <is>
          <t>With Analysis</t>
        </is>
      </c>
      <c r="C194" s="3" t="inlineStr"/>
      <c r="D194" s="4" t="n">
        <v>46231</v>
      </c>
      <c r="E194" s="3" t="inlineStr">
        <is>
          <t>0</t>
        </is>
      </c>
      <c r="F194" s="3" t="n">
        <v>46219</v>
      </c>
      <c r="G194" s="3" t="n">
        <v>46219</v>
      </c>
    </row>
    <row r="195">
      <c r="A195" s="3" t="inlineStr">
        <is>
          <t>NGS 260197</t>
        </is>
      </c>
      <c r="B195" s="3" t="inlineStr">
        <is>
          <t>Without Analysis</t>
        </is>
      </c>
      <c r="C195" s="3" t="inlineStr"/>
      <c r="D195" s="4" t="n">
        <v>46231</v>
      </c>
      <c r="E195" s="3" t="inlineStr">
        <is>
          <t>0</t>
        </is>
      </c>
      <c r="F195" s="3" t="n">
        <v>46219</v>
      </c>
      <c r="G195" s="3" t="n">
        <v>46219</v>
      </c>
    </row>
    <row r="196">
      <c r="A196" s="3" t="inlineStr">
        <is>
          <t>NGS 260198</t>
        </is>
      </c>
      <c r="B196" s="3" t="inlineStr">
        <is>
          <t>With Analysis</t>
        </is>
      </c>
      <c r="C196" s="3" t="inlineStr"/>
      <c r="D196" s="4" t="n">
        <v>46231</v>
      </c>
      <c r="E196" s="3" t="inlineStr">
        <is>
          <t>0</t>
        </is>
      </c>
      <c r="F196" s="3" t="n">
        <v>46219</v>
      </c>
      <c r="G196" s="3" t="n">
        <v>46219</v>
      </c>
    </row>
    <row r="197">
      <c r="A197" s="3" t="inlineStr">
        <is>
          <t>NGS 260199</t>
        </is>
      </c>
      <c r="B197" s="3" t="inlineStr">
        <is>
          <t>Without Analysis</t>
        </is>
      </c>
      <c r="C197" s="3" t="inlineStr"/>
      <c r="D197" s="4" t="n">
        <v>46231</v>
      </c>
      <c r="E197" s="3" t="inlineStr">
        <is>
          <t>0</t>
        </is>
      </c>
      <c r="F197" s="3" t="n">
        <v>46219</v>
      </c>
      <c r="G197" s="3" t="n">
        <v>46219</v>
      </c>
    </row>
    <row r="198">
      <c r="A198" s="3" t="inlineStr">
        <is>
          <t>NGS 260200</t>
        </is>
      </c>
      <c r="B198" s="3" t="inlineStr">
        <is>
          <t>With Analysis</t>
        </is>
      </c>
      <c r="C198" s="3" t="inlineStr"/>
      <c r="D198" s="4" t="n">
        <v>46231</v>
      </c>
      <c r="E198" s="3" t="inlineStr">
        <is>
          <t>0</t>
        </is>
      </c>
      <c r="F198" s="3" t="n">
        <v>46219</v>
      </c>
      <c r="G198" s="3" t="n">
        <v>46219</v>
      </c>
    </row>
    <row r="199">
      <c r="A199" s="3" t="inlineStr">
        <is>
          <t>Re-NGS 260201</t>
        </is>
      </c>
      <c r="B199" s="3" t="inlineStr">
        <is>
          <t>With Analysis</t>
        </is>
      </c>
      <c r="C199" s="3" t="inlineStr"/>
      <c r="D199" s="4" t="n">
        <v>46231</v>
      </c>
      <c r="E199" s="3" t="inlineStr">
        <is>
          <t>0</t>
        </is>
      </c>
      <c r="F199" s="3" t="n">
        <v>46219</v>
      </c>
      <c r="G199" s="3" t="n">
        <v>46219</v>
      </c>
    </row>
    <row r="200">
      <c r="A200" s="3" t="inlineStr">
        <is>
          <t>NGS 260202</t>
        </is>
      </c>
      <c r="B200" s="3" t="inlineStr">
        <is>
          <t>With Analysis</t>
        </is>
      </c>
      <c r="C200" s="3" t="inlineStr"/>
      <c r="D200" s="4" t="n">
        <v>46231</v>
      </c>
      <c r="E200" s="3" t="inlineStr">
        <is>
          <t>0</t>
        </is>
      </c>
      <c r="F200" s="3" t="n">
        <v>46219</v>
      </c>
      <c r="G200" s="3" t="n">
        <v>46219</v>
      </c>
    </row>
    <row r="201">
      <c r="A201" s="3" t="inlineStr">
        <is>
          <t>NGS 260203</t>
        </is>
      </c>
      <c r="B201" s="3" t="inlineStr">
        <is>
          <t>Without Analysis</t>
        </is>
      </c>
      <c r="C201" s="3" t="inlineStr"/>
      <c r="D201" s="4" t="n">
        <v>46231</v>
      </c>
      <c r="E201" s="3" t="inlineStr">
        <is>
          <t>0</t>
        </is>
      </c>
      <c r="F201" s="3" t="n">
        <v>46219</v>
      </c>
      <c r="G201" s="3" t="n">
        <v>46219</v>
      </c>
    </row>
    <row r="202">
      <c r="A202" s="3" t="inlineStr">
        <is>
          <t>NGS 260204</t>
        </is>
      </c>
      <c r="B202" s="3" t="inlineStr">
        <is>
          <t>Without Analysis</t>
        </is>
      </c>
      <c r="C202" s="4" t="n">
        <v>46216</v>
      </c>
      <c r="D202" s="4" t="n">
        <v>46231</v>
      </c>
      <c r="E202" s="3" t="inlineStr">
        <is>
          <t>0</t>
        </is>
      </c>
      <c r="F202" s="3" t="n">
        <v>3</v>
      </c>
      <c r="G202" s="3" t="n">
        <v>46219</v>
      </c>
    </row>
    <row r="203">
      <c r="A203" s="3" t="inlineStr">
        <is>
          <t>NGS 260205</t>
        </is>
      </c>
      <c r="B203" s="3" t="inlineStr">
        <is>
          <t>Without Analysis</t>
        </is>
      </c>
      <c r="C203" s="3" t="inlineStr"/>
      <c r="D203" s="4" t="n">
        <v>46231</v>
      </c>
      <c r="E203" s="3" t="inlineStr">
        <is>
          <t>0</t>
        </is>
      </c>
      <c r="F203" s="3" t="n">
        <v>46219</v>
      </c>
      <c r="G203" s="3" t="n">
        <v>46219</v>
      </c>
    </row>
    <row r="204">
      <c r="A204" s="3" t="inlineStr">
        <is>
          <t>GEM-NGS 260206</t>
        </is>
      </c>
      <c r="B204" s="3" t="inlineStr">
        <is>
          <t>Without Analysis</t>
        </is>
      </c>
      <c r="C204" s="3" t="inlineStr"/>
      <c r="D204" s="4" t="n">
        <v>46231</v>
      </c>
      <c r="E204" s="3" t="inlineStr">
        <is>
          <t>0</t>
        </is>
      </c>
      <c r="F204" s="3" t="n">
        <v>46219</v>
      </c>
      <c r="G204" s="3" t="n">
        <v>46219</v>
      </c>
    </row>
    <row r="205">
      <c r="A205" s="3" t="inlineStr">
        <is>
          <t>GEM-NGS 260207</t>
        </is>
      </c>
      <c r="B205" s="3" t="inlineStr">
        <is>
          <t>Without Analysis</t>
        </is>
      </c>
      <c r="C205" s="3" t="inlineStr"/>
      <c r="D205" s="4" t="n">
        <v>46231</v>
      </c>
      <c r="E205" s="3" t="inlineStr">
        <is>
          <t>0</t>
        </is>
      </c>
      <c r="F205" s="3" t="n">
        <v>46219</v>
      </c>
      <c r="G205" s="3" t="n">
        <v>46219</v>
      </c>
    </row>
    <row r="206">
      <c r="A206" s="3" t="inlineStr">
        <is>
          <t>NGS 260208</t>
        </is>
      </c>
      <c r="B206" s="3" t="inlineStr">
        <is>
          <t>With Analysis</t>
        </is>
      </c>
      <c r="C206" s="3" t="inlineStr"/>
      <c r="D206" s="4" t="n">
        <v>46231</v>
      </c>
      <c r="E206" s="3" t="inlineStr">
        <is>
          <t>0</t>
        </is>
      </c>
      <c r="F206" s="3" t="n">
        <v>46219</v>
      </c>
      <c r="G206" s="3" t="n">
        <v>46219</v>
      </c>
    </row>
    <row r="207">
      <c r="A207" s="3" t="inlineStr">
        <is>
          <t>NGS 260209</t>
        </is>
      </c>
      <c r="B207" s="3" t="inlineStr">
        <is>
          <t>Without Analysis</t>
        </is>
      </c>
      <c r="C207" s="3" t="inlineStr"/>
      <c r="D207" s="4" t="n">
        <v>46231</v>
      </c>
      <c r="E207" s="3" t="inlineStr">
        <is>
          <t>0</t>
        </is>
      </c>
      <c r="F207" s="3" t="n">
        <v>46219</v>
      </c>
      <c r="G207" s="3" t="n">
        <v>46219</v>
      </c>
    </row>
    <row r="208">
      <c r="A208" s="3" t="inlineStr">
        <is>
          <t>NGS 260210</t>
        </is>
      </c>
      <c r="B208" s="3" t="inlineStr">
        <is>
          <t>Without Analysis</t>
        </is>
      </c>
      <c r="C208" s="3" t="inlineStr"/>
      <c r="D208" s="4" t="n">
        <v>46231</v>
      </c>
      <c r="E208" s="3" t="inlineStr">
        <is>
          <t>0</t>
        </is>
      </c>
      <c r="F208" s="3" t="n">
        <v>46219</v>
      </c>
      <c r="G208" s="3" t="n">
        <v>46219</v>
      </c>
    </row>
    <row r="209">
      <c r="A209" s="3" t="inlineStr">
        <is>
          <t>NGS 260211</t>
        </is>
      </c>
      <c r="B209" s="3" t="inlineStr">
        <is>
          <t>With Analysis</t>
        </is>
      </c>
      <c r="C209" s="3" t="inlineStr"/>
      <c r="D209" s="4" t="n">
        <v>46231</v>
      </c>
      <c r="E209" s="3" t="inlineStr">
        <is>
          <t>0</t>
        </is>
      </c>
      <c r="F209" s="3" t="n">
        <v>46219</v>
      </c>
      <c r="G209" s="3" t="n">
        <v>46219</v>
      </c>
    </row>
    <row r="210">
      <c r="A210" s="3" t="inlineStr">
        <is>
          <t>NGS 260212</t>
        </is>
      </c>
      <c r="B210" s="3" t="inlineStr">
        <is>
          <t>Without Analysis</t>
        </is>
      </c>
      <c r="C210" s="3" t="inlineStr"/>
      <c r="D210" s="4" t="n">
        <v>46231</v>
      </c>
      <c r="E210" s="3" t="inlineStr">
        <is>
          <t>0</t>
        </is>
      </c>
      <c r="F210" s="3" t="n">
        <v>46219</v>
      </c>
      <c r="G210" s="3" t="n">
        <v>46219</v>
      </c>
    </row>
    <row r="211">
      <c r="A211" s="3" t="inlineStr">
        <is>
          <t>NGS 260213</t>
        </is>
      </c>
      <c r="B211" s="3" t="inlineStr">
        <is>
          <t>With Analysis</t>
        </is>
      </c>
      <c r="C211" s="3" t="inlineStr"/>
      <c r="D211" s="4" t="n">
        <v>46231</v>
      </c>
      <c r="E211" s="3" t="inlineStr">
        <is>
          <t>0</t>
        </is>
      </c>
      <c r="F211" s="3" t="n">
        <v>46219</v>
      </c>
      <c r="G211" s="3" t="n">
        <v>46219</v>
      </c>
    </row>
    <row r="212">
      <c r="A212" s="3" t="inlineStr">
        <is>
          <t>NGS 260214</t>
        </is>
      </c>
      <c r="B212" s="3" t="inlineStr">
        <is>
          <t>Without Analysis</t>
        </is>
      </c>
      <c r="C212" s="3" t="inlineStr"/>
      <c r="D212" s="4" t="n">
        <v>46231</v>
      </c>
      <c r="E212" s="3" t="inlineStr">
        <is>
          <t>0</t>
        </is>
      </c>
      <c r="F212" s="3" t="n">
        <v>46219</v>
      </c>
      <c r="G212" s="3" t="n">
        <v>46219</v>
      </c>
    </row>
    <row r="213">
      <c r="A213" s="3" t="inlineStr">
        <is>
          <t>NGS 260215</t>
        </is>
      </c>
      <c r="B213" s="3" t="inlineStr">
        <is>
          <t>With Analysis</t>
        </is>
      </c>
      <c r="C213" s="3" t="inlineStr"/>
      <c r="D213" s="4" t="n">
        <v>46231</v>
      </c>
      <c r="E213" s="3" t="inlineStr">
        <is>
          <t>0</t>
        </is>
      </c>
      <c r="F213" s="3" t="n">
        <v>46219</v>
      </c>
      <c r="G213" s="3" t="n">
        <v>46219</v>
      </c>
    </row>
    <row r="214">
      <c r="A214" s="3" t="inlineStr">
        <is>
          <t>NGS 260216</t>
        </is>
      </c>
      <c r="B214" s="3" t="inlineStr">
        <is>
          <t>With Analysis</t>
        </is>
      </c>
      <c r="C214" s="3" t="inlineStr"/>
      <c r="D214" s="4" t="n">
        <v>46231</v>
      </c>
      <c r="E214" s="3" t="inlineStr">
        <is>
          <t>0</t>
        </is>
      </c>
      <c r="F214" s="3" t="n">
        <v>46219</v>
      </c>
      <c r="G214" s="3" t="n">
        <v>46219</v>
      </c>
    </row>
    <row r="215">
      <c r="A215" s="3" t="inlineStr">
        <is>
          <t>NGS 260217</t>
        </is>
      </c>
      <c r="B215" s="3" t="inlineStr">
        <is>
          <t>With Analysis</t>
        </is>
      </c>
      <c r="C215" s="3" t="inlineStr"/>
      <c r="D215" s="4" t="n">
        <v>46231</v>
      </c>
      <c r="E215" s="3" t="inlineStr">
        <is>
          <t>0</t>
        </is>
      </c>
      <c r="F215" s="3" t="n">
        <v>46219</v>
      </c>
      <c r="G215" s="3" t="n">
        <v>46219</v>
      </c>
    </row>
    <row r="216">
      <c r="A216" s="3" t="inlineStr">
        <is>
          <t>NGS 260218</t>
        </is>
      </c>
      <c r="B216" s="3" t="inlineStr">
        <is>
          <t>With Analysis</t>
        </is>
      </c>
      <c r="C216" s="3" t="inlineStr"/>
      <c r="D216" s="4" t="n">
        <v>46231</v>
      </c>
      <c r="E216" s="3" t="inlineStr">
        <is>
          <t>0</t>
        </is>
      </c>
      <c r="F216" s="3" t="n">
        <v>46219</v>
      </c>
      <c r="G216" s="3" t="n">
        <v>46219</v>
      </c>
    </row>
    <row r="217">
      <c r="A217" s="3" t="inlineStr">
        <is>
          <t>NGS 260219</t>
        </is>
      </c>
      <c r="B217" s="3" t="inlineStr">
        <is>
          <t>Without Analysis</t>
        </is>
      </c>
      <c r="C217" s="3" t="inlineStr"/>
      <c r="D217" s="4" t="n">
        <v>46231</v>
      </c>
      <c r="E217" s="3" t="inlineStr">
        <is>
          <t>0</t>
        </is>
      </c>
      <c r="F217" s="3" t="n">
        <v>46219</v>
      </c>
      <c r="G217" s="3" t="n">
        <v>46219</v>
      </c>
    </row>
    <row r="218">
      <c r="A218" s="3" t="inlineStr">
        <is>
          <t>NGS 260220</t>
        </is>
      </c>
      <c r="B218" s="3" t="inlineStr">
        <is>
          <t>Without Analysis</t>
        </is>
      </c>
      <c r="C218" s="3" t="inlineStr"/>
      <c r="D218" s="4" t="n">
        <v>46231</v>
      </c>
      <c r="E218" s="3" t="inlineStr">
        <is>
          <t>0</t>
        </is>
      </c>
      <c r="F218" s="3" t="n">
        <v>46219</v>
      </c>
      <c r="G218" s="3" t="n">
        <v>46219</v>
      </c>
    </row>
    <row r="219">
      <c r="A219" s="3" t="inlineStr">
        <is>
          <t>NGS 260221</t>
        </is>
      </c>
      <c r="B219" s="3" t="inlineStr">
        <is>
          <t>Without Analysis</t>
        </is>
      </c>
      <c r="C219" s="3" t="inlineStr"/>
      <c r="D219" s="4" t="n">
        <v>46231</v>
      </c>
      <c r="E219" s="3" t="inlineStr">
        <is>
          <t>0</t>
        </is>
      </c>
      <c r="F219" s="3" t="n">
        <v>46219</v>
      </c>
      <c r="G219" s="3" t="n">
        <v>46219</v>
      </c>
    </row>
    <row r="220">
      <c r="A220" s="3" t="inlineStr">
        <is>
          <t>NGS 260222</t>
        </is>
      </c>
      <c r="B220" s="3" t="inlineStr">
        <is>
          <t>Without Analysis</t>
        </is>
      </c>
      <c r="C220" s="3" t="inlineStr"/>
      <c r="D220" s="4" t="n">
        <v>46231</v>
      </c>
      <c r="E220" s="3" t="inlineStr">
        <is>
          <t>0</t>
        </is>
      </c>
      <c r="F220" s="3" t="n">
        <v>46219</v>
      </c>
      <c r="G220" s="3" t="n">
        <v>46219</v>
      </c>
    </row>
    <row r="221">
      <c r="A221" s="3" t="inlineStr">
        <is>
          <t>NGS 260223</t>
        </is>
      </c>
      <c r="B221" s="3" t="inlineStr">
        <is>
          <t>Without Analysis</t>
        </is>
      </c>
      <c r="C221" s="3" t="inlineStr"/>
      <c r="D221" s="4" t="n">
        <v>46231</v>
      </c>
      <c r="E221" s="3" t="inlineStr">
        <is>
          <t>0</t>
        </is>
      </c>
      <c r="F221" s="3" t="n">
        <v>46219</v>
      </c>
      <c r="G221" s="3" t="n">
        <v>46219</v>
      </c>
    </row>
    <row r="222">
      <c r="A222" s="3" t="inlineStr">
        <is>
          <t>NGS 260224</t>
        </is>
      </c>
      <c r="B222" s="3" t="inlineStr">
        <is>
          <t>With Analysis</t>
        </is>
      </c>
      <c r="C222" s="3" t="inlineStr"/>
      <c r="D222" s="4" t="n">
        <v>46231</v>
      </c>
      <c r="E222" s="3" t="inlineStr">
        <is>
          <t>0</t>
        </is>
      </c>
      <c r="F222" s="3" t="n">
        <v>46219</v>
      </c>
      <c r="G222" s="3" t="n">
        <v>46219</v>
      </c>
    </row>
    <row r="223">
      <c r="A223" s="3" t="inlineStr">
        <is>
          <t>NGS 260225</t>
        </is>
      </c>
      <c r="B223" s="3" t="inlineStr">
        <is>
          <t>With Analysis</t>
        </is>
      </c>
      <c r="C223" s="3" t="inlineStr"/>
      <c r="D223" s="4" t="n">
        <v>46231</v>
      </c>
      <c r="E223" s="3" t="inlineStr">
        <is>
          <t>0</t>
        </is>
      </c>
      <c r="F223" s="3" t="n">
        <v>46219</v>
      </c>
      <c r="G223" s="3" t="n">
        <v>46219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13" customWidth="1" min="4" max="4"/>
    <col width="26" customWidth="1" min="5" max="5"/>
    <col width="38" customWidth="1" min="6" max="6"/>
    <col width="38" customWidth="1" min="7" max="7"/>
    <col width="50" customWidth="1" min="8" max="8"/>
    <col width="13" customWidth="1" min="9" max="9"/>
    <col width="50" customWidth="1" min="10" max="10"/>
    <col width="47" customWidth="1" min="11" max="11"/>
    <col width="23" customWidth="1" min="12" max="12"/>
    <col width="14" customWidth="1" min="13" max="13"/>
    <col width="31" customWidth="1" min="14" max="14"/>
    <col width="50" customWidth="1" min="15" max="15"/>
    <col width="22" customWidth="1" min="16" max="16"/>
    <col width="17" customWidth="1" min="17" max="17"/>
    <col width="10" customWidth="1" min="18" max="18"/>
    <col width="11" customWidth="1" min="19" max="19"/>
    <col width="20" customWidth="1" min="20" max="20"/>
    <col width="21" customWidth="1" min="21" max="21"/>
    <col width="35" customWidth="1" min="22" max="22"/>
    <col width="14" customWidth="1" min="23" max="23"/>
    <col width="16" customWidth="1" min="24" max="24"/>
    <col width="20" customWidth="1" min="25" max="25"/>
    <col width="8" customWidth="1" min="26" max="26"/>
  </cols>
  <sheetData>
    <row r="1">
      <c r="A1" s="2" t="inlineStr">
        <is>
          <t>SR. NO.</t>
        </is>
      </c>
      <c r="B1" s="2" t="inlineStr">
        <is>
          <t>PROJECT ID</t>
        </is>
      </c>
      <c r="C1" s="2" t="inlineStr">
        <is>
          <t>DATE</t>
        </is>
      </c>
      <c r="D1" s="2" t="inlineStr">
        <is>
          <t>Month</t>
        </is>
      </c>
      <c r="E1" s="2" t="inlineStr">
        <is>
          <t>SCIENTIST NAME</t>
        </is>
      </c>
      <c r="F1" s="2" t="inlineStr">
        <is>
          <t>INSTITUTE</t>
        </is>
      </c>
      <c r="G1" s="2" t="inlineStr">
        <is>
          <t>BILLING</t>
        </is>
      </c>
      <c r="H1" s="2" t="inlineStr">
        <is>
          <t>MAIL ID</t>
        </is>
      </c>
      <c r="I1" s="2" t="inlineStr">
        <is>
          <t>CONTACT NO.</t>
        </is>
      </c>
      <c r="J1" s="2" t="inlineStr">
        <is>
          <t>SERVICE NAME</t>
        </is>
      </c>
      <c r="K1" s="2" t="inlineStr">
        <is>
          <t>SERVICE HEAD</t>
        </is>
      </c>
      <c r="L1" s="2" t="inlineStr">
        <is>
          <t>With/Without Analysis</t>
        </is>
      </c>
      <c r="M1" s="2" t="inlineStr">
        <is>
          <t>NO OF SAMPLE</t>
        </is>
      </c>
      <c r="N1" s="2" t="inlineStr">
        <is>
          <t>Data Requirement</t>
        </is>
      </c>
      <c r="O1" s="2" t="inlineStr">
        <is>
          <t>GB DATA OUTPUT</t>
        </is>
      </c>
      <c r="P1" s="2" t="inlineStr">
        <is>
          <t>TOTAL GB DATA OUTPUT</t>
        </is>
      </c>
      <c r="Q1" s="2" t="inlineStr">
        <is>
          <t>RATE PER SAMPLE</t>
        </is>
      </c>
      <c r="R1" s="2" t="inlineStr">
        <is>
          <t>TOTAL</t>
        </is>
      </c>
      <c r="S1" s="2" t="inlineStr">
        <is>
          <t>GST</t>
        </is>
      </c>
      <c r="T1" s="2" t="inlineStr">
        <is>
          <t>TOTAL PROJECT COST</t>
        </is>
      </c>
      <c r="U1" s="2" t="inlineStr">
        <is>
          <t>QUOTATION NO.</t>
        </is>
      </c>
      <c r="V1" s="2" t="inlineStr">
        <is>
          <t>INVOICE NO.</t>
        </is>
      </c>
      <c r="W1" s="2" t="inlineStr">
        <is>
          <t>SALES PERSON</t>
        </is>
      </c>
      <c r="X1" s="2" t="inlineStr">
        <is>
          <t>TERRITORY NAME</t>
        </is>
      </c>
      <c r="Y1" s="2" t="inlineStr">
        <is>
          <t>CITY</t>
        </is>
      </c>
      <c r="Z1" s="2" t="inlineStr">
        <is>
          <t>Deleat</t>
        </is>
      </c>
    </row>
    <row r="2">
      <c r="A2" s="3" t="n">
        <v>1</v>
      </c>
      <c r="B2" s="3" t="inlineStr">
        <is>
          <t>NGS 240394</t>
        </is>
      </c>
      <c r="C2" s="4" t="n">
        <v>45749</v>
      </c>
      <c r="D2" s="3" t="inlineStr">
        <is>
          <t>April- 2025</t>
        </is>
      </c>
      <c r="E2" s="3" t="inlineStr">
        <is>
          <t>Dr. Pradeep Sharma</t>
        </is>
      </c>
      <c r="F2" s="3" t="inlineStr">
        <is>
          <t>Aiims Delhi</t>
        </is>
      </c>
      <c r="G2" s="3" t="inlineStr">
        <is>
          <t>Aiims Delhi</t>
        </is>
      </c>
      <c r="H2" s="3" t="inlineStr">
        <is>
          <t>pradeepbdk@gmail.com</t>
        </is>
      </c>
      <c r="I2" s="3" t="inlineStr"/>
      <c r="J2" s="3" t="inlineStr">
        <is>
          <t>Transcriptome Sequencing &amp; Analysis On Illumina</t>
        </is>
      </c>
      <c r="K2" s="3" t="inlineStr">
        <is>
          <t>RNA Seq</t>
        </is>
      </c>
      <c r="L2" s="3" t="inlineStr">
        <is>
          <t xml:space="preserve">With Analysis </t>
        </is>
      </c>
      <c r="M2" s="3" t="n">
        <v>7</v>
      </c>
      <c r="N2" s="3" t="inlineStr"/>
      <c r="O2" s="3" t="inlineStr">
        <is>
          <t>8</t>
        </is>
      </c>
      <c r="P2" s="3" t="n">
        <v>56</v>
      </c>
      <c r="Q2" s="3" t="n">
        <v>15000</v>
      </c>
      <c r="R2" s="3" t="n">
        <v>105000</v>
      </c>
      <c r="S2" s="3" t="n">
        <v>18900</v>
      </c>
      <c r="T2" s="5" t="n">
        <v>123900</v>
      </c>
      <c r="U2" s="5" t="inlineStr"/>
      <c r="V2" s="5" t="inlineStr"/>
      <c r="W2" s="3" t="inlineStr">
        <is>
          <t xml:space="preserve">Nem Singh </t>
        </is>
      </c>
      <c r="X2" s="3" t="inlineStr">
        <is>
          <t>North</t>
        </is>
      </c>
      <c r="Y2" s="3" t="inlineStr">
        <is>
          <t>Karnal</t>
        </is>
      </c>
      <c r="Z2" s="3" t="inlineStr"/>
    </row>
    <row r="3">
      <c r="A3" s="3" t="n">
        <v>2</v>
      </c>
      <c r="B3" s="3" t="inlineStr">
        <is>
          <t>NGS 240395</t>
        </is>
      </c>
      <c r="C3" s="4" t="n">
        <v>45749</v>
      </c>
      <c r="D3" s="3" t="inlineStr">
        <is>
          <t>April- 2025</t>
        </is>
      </c>
      <c r="E3" s="3" t="inlineStr">
        <is>
          <t>Dr. Pradeep Sharma</t>
        </is>
      </c>
      <c r="F3" s="3" t="inlineStr">
        <is>
          <t>Aiims Delhi</t>
        </is>
      </c>
      <c r="G3" s="3" t="inlineStr">
        <is>
          <t>Aiims Delhi</t>
        </is>
      </c>
      <c r="H3" s="3" t="inlineStr">
        <is>
          <t>pradeepbdk@gmail.com</t>
        </is>
      </c>
      <c r="I3" s="3" t="inlineStr"/>
      <c r="J3" s="3" t="inlineStr">
        <is>
          <t>16S V3-V4 Metagenome Sequencing &amp; Analysis On Illumina</t>
        </is>
      </c>
      <c r="K3" s="3" t="inlineStr">
        <is>
          <t>16S Metagenome</t>
        </is>
      </c>
      <c r="L3" s="3" t="inlineStr">
        <is>
          <t xml:space="preserve">With Analysis </t>
        </is>
      </c>
      <c r="M3" s="3" t="n">
        <v>15</v>
      </c>
      <c r="N3" s="3" t="inlineStr"/>
      <c r="O3" s="3" t="inlineStr">
        <is>
          <t>60,000 reads/sample</t>
        </is>
      </c>
      <c r="P3" s="3" t="n">
        <v>0</v>
      </c>
      <c r="Q3" s="3" t="n">
        <v>7200</v>
      </c>
      <c r="R3" s="3" t="n">
        <v>108000</v>
      </c>
      <c r="S3" s="3" t="n">
        <v>19440</v>
      </c>
      <c r="T3" s="5" t="n">
        <v>127440</v>
      </c>
      <c r="U3" s="5" t="inlineStr"/>
      <c r="V3" s="5" t="inlineStr">
        <is>
          <t>UPL/GEN/48/2526</t>
        </is>
      </c>
      <c r="W3" s="3" t="inlineStr">
        <is>
          <t xml:space="preserve">Nem Singh </t>
        </is>
      </c>
      <c r="X3" s="3" t="inlineStr">
        <is>
          <t>North</t>
        </is>
      </c>
      <c r="Y3" s="3" t="inlineStr">
        <is>
          <t>Karnal</t>
        </is>
      </c>
      <c r="Z3" s="3" t="inlineStr"/>
    </row>
    <row r="4">
      <c r="A4" s="3" t="n">
        <v>2</v>
      </c>
      <c r="B4" s="3" t="inlineStr">
        <is>
          <t>NGS 240396</t>
        </is>
      </c>
      <c r="C4" s="4" t="n">
        <v>45750</v>
      </c>
      <c r="D4" s="3" t="inlineStr">
        <is>
          <t>April- 2025</t>
        </is>
      </c>
      <c r="E4" s="3" t="inlineStr">
        <is>
          <t>Aparna Dwivedi</t>
        </is>
      </c>
      <c r="F4" s="3" t="inlineStr">
        <is>
          <t>Bsip</t>
        </is>
      </c>
      <c r="G4" s="3" t="inlineStr">
        <is>
          <t>Bsip</t>
        </is>
      </c>
      <c r="H4" s="3" t="inlineStr">
        <is>
          <t>aparna.dwivedi@bsip.res.in</t>
        </is>
      </c>
      <c r="I4" s="3" t="inlineStr"/>
      <c r="J4" s="3" t="inlineStr">
        <is>
          <t>Lane Sequencing On Illumina</t>
        </is>
      </c>
      <c r="K4" s="3" t="inlineStr">
        <is>
          <t>Lane Sequencing</t>
        </is>
      </c>
      <c r="L4" s="3" t="inlineStr">
        <is>
          <t xml:space="preserve">Without Analysis  </t>
        </is>
      </c>
      <c r="M4" s="3" t="n">
        <v>40</v>
      </c>
      <c r="N4" s="3" t="inlineStr"/>
      <c r="O4" s="3" t="inlineStr"/>
      <c r="P4" s="3" t="n">
        <v>40</v>
      </c>
      <c r="Q4" s="3" t="inlineStr"/>
      <c r="R4" s="3" t="n">
        <v>0</v>
      </c>
      <c r="S4" s="3" t="n">
        <v>0</v>
      </c>
      <c r="T4" s="5" t="n">
        <v>0</v>
      </c>
      <c r="U4" s="5" t="inlineStr"/>
      <c r="V4" s="5" t="inlineStr"/>
      <c r="W4" s="3" t="inlineStr"/>
      <c r="X4" s="3" t="inlineStr">
        <is>
          <t>N/A</t>
        </is>
      </c>
      <c r="Y4" s="3" t="inlineStr">
        <is>
          <t>N/A</t>
        </is>
      </c>
      <c r="Z4" s="3" t="inlineStr"/>
    </row>
    <row r="5">
      <c r="A5" s="3" t="n">
        <v>3</v>
      </c>
      <c r="B5" s="3" t="inlineStr">
        <is>
          <t>NGS 240396</t>
        </is>
      </c>
      <c r="C5" s="4" t="n">
        <v>45750</v>
      </c>
      <c r="D5" s="3" t="inlineStr">
        <is>
          <t>April- 2025</t>
        </is>
      </c>
      <c r="E5" s="3" t="inlineStr">
        <is>
          <t>Aparna Dwivedi</t>
        </is>
      </c>
      <c r="F5" s="3" t="inlineStr">
        <is>
          <t>Bsip</t>
        </is>
      </c>
      <c r="G5" s="3" t="inlineStr">
        <is>
          <t>Bsip</t>
        </is>
      </c>
      <c r="H5" s="3" t="inlineStr"/>
      <c r="I5" s="3" t="inlineStr"/>
      <c r="J5" s="3" t="inlineStr">
        <is>
          <t>Lane Sequencing On Illumina</t>
        </is>
      </c>
      <c r="K5" s="3" t="inlineStr">
        <is>
          <t>Lane Sequencing</t>
        </is>
      </c>
      <c r="L5" s="3" t="inlineStr">
        <is>
          <t xml:space="preserve">Without Analysis  </t>
        </is>
      </c>
      <c r="M5" s="3" t="n">
        <v>0</v>
      </c>
      <c r="N5" s="3" t="inlineStr"/>
      <c r="O5" s="3" t="inlineStr"/>
      <c r="P5" s="3" t="n">
        <v>0</v>
      </c>
      <c r="Q5" s="3" t="inlineStr"/>
      <c r="R5" s="3" t="n">
        <v>0</v>
      </c>
      <c r="S5" s="3" t="n">
        <v>0</v>
      </c>
      <c r="T5" s="5" t="n">
        <v>0</v>
      </c>
      <c r="U5" s="5" t="inlineStr"/>
      <c r="V5" s="5" t="inlineStr"/>
      <c r="W5" s="3" t="inlineStr"/>
      <c r="X5" s="3" t="inlineStr">
        <is>
          <t>N/A</t>
        </is>
      </c>
      <c r="Y5" s="3" t="inlineStr">
        <is>
          <t>N/A</t>
        </is>
      </c>
      <c r="Z5" s="3" t="inlineStr"/>
    </row>
    <row r="6">
      <c r="A6" s="3" t="n">
        <v>3</v>
      </c>
      <c r="B6" s="3" t="inlineStr">
        <is>
          <t>NGS 240396</t>
        </is>
      </c>
      <c r="C6" s="4" t="n">
        <v>45750</v>
      </c>
      <c r="D6" s="3" t="inlineStr">
        <is>
          <t>April- 2025</t>
        </is>
      </c>
      <c r="E6" s="3" t="inlineStr">
        <is>
          <t>Aparna Dwivedi</t>
        </is>
      </c>
      <c r="F6" s="3" t="inlineStr">
        <is>
          <t>Bsip</t>
        </is>
      </c>
      <c r="G6" s="3" t="inlineStr">
        <is>
          <t>Bsip</t>
        </is>
      </c>
      <c r="H6" s="3" t="inlineStr"/>
      <c r="I6" s="3" t="inlineStr"/>
      <c r="J6" s="3" t="inlineStr">
        <is>
          <t>DNA Library Qc</t>
        </is>
      </c>
      <c r="K6" s="3" t="inlineStr">
        <is>
          <t>Library Qc</t>
        </is>
      </c>
      <c r="L6" s="3" t="inlineStr">
        <is>
          <t xml:space="preserve">Without Analysis  </t>
        </is>
      </c>
      <c r="M6" s="3" t="n">
        <v>0</v>
      </c>
      <c r="N6" s="3" t="inlineStr"/>
      <c r="O6" s="3" t="inlineStr"/>
      <c r="P6" s="3" t="n">
        <v>0</v>
      </c>
      <c r="Q6" s="3" t="inlineStr"/>
      <c r="R6" s="3" t="n">
        <v>0</v>
      </c>
      <c r="S6" s="3" t="n">
        <v>0</v>
      </c>
      <c r="T6" s="5" t="n">
        <v>0</v>
      </c>
      <c r="U6" s="5" t="inlineStr"/>
      <c r="V6" s="5" t="inlineStr"/>
      <c r="W6" s="3" t="inlineStr"/>
      <c r="X6" s="3" t="inlineStr">
        <is>
          <t>N/A</t>
        </is>
      </c>
      <c r="Y6" s="3" t="inlineStr">
        <is>
          <t>N/A</t>
        </is>
      </c>
      <c r="Z6" s="3" t="inlineStr"/>
    </row>
    <row r="7">
      <c r="A7" s="3" t="n">
        <v>4</v>
      </c>
      <c r="B7" s="3" t="inlineStr">
        <is>
          <t>NGS 240397</t>
        </is>
      </c>
      <c r="C7" s="4" t="n">
        <v>45750</v>
      </c>
      <c r="D7" s="3" t="inlineStr">
        <is>
          <t>April- 2025</t>
        </is>
      </c>
      <c r="E7" s="3" t="inlineStr">
        <is>
          <t>Dr Komal Agrawal</t>
        </is>
      </c>
      <c r="F7" s="3" t="inlineStr">
        <is>
          <t>Lpu</t>
        </is>
      </c>
      <c r="G7" s="3" t="inlineStr">
        <is>
          <t>Lpu</t>
        </is>
      </c>
      <c r="H7" s="3" t="inlineStr">
        <is>
          <t>komalagarwal935@gmail.com</t>
        </is>
      </c>
      <c r="I7" s="3" t="inlineStr"/>
      <c r="J7" s="3" t="inlineStr">
        <is>
          <t>Whole Metagenome Sequencing &amp; Analysis On Illumina</t>
        </is>
      </c>
      <c r="K7" s="3" t="inlineStr">
        <is>
          <t>Wgmg</t>
        </is>
      </c>
      <c r="L7" s="3" t="inlineStr">
        <is>
          <t xml:space="preserve">With Analysis </t>
        </is>
      </c>
      <c r="M7" s="3" t="n">
        <v>1</v>
      </c>
      <c r="N7" s="3" t="inlineStr"/>
      <c r="O7" s="3" t="inlineStr">
        <is>
          <t>8</t>
        </is>
      </c>
      <c r="P7" s="3" t="n">
        <v>8</v>
      </c>
      <c r="Q7" s="3" t="n">
        <v>14000</v>
      </c>
      <c r="R7" s="3" t="n">
        <v>14000</v>
      </c>
      <c r="S7" s="3" t="n">
        <v>2520</v>
      </c>
      <c r="T7" s="5" t="n">
        <v>16520</v>
      </c>
      <c r="U7" s="5" t="inlineStr">
        <is>
          <t>UG/NGS/TP/2503595</t>
        </is>
      </c>
      <c r="V7" s="5" t="inlineStr">
        <is>
          <t>UPL/GEN/54/2526</t>
        </is>
      </c>
      <c r="W7" s="3" t="inlineStr">
        <is>
          <t>Direct</t>
        </is>
      </c>
      <c r="X7" s="3" t="inlineStr">
        <is>
          <t>North</t>
        </is>
      </c>
      <c r="Y7" s="3" t="inlineStr">
        <is>
          <t>Chandigarh</t>
        </is>
      </c>
      <c r="Z7" s="3" t="inlineStr"/>
    </row>
    <row r="8">
      <c r="A8" s="3" t="n">
        <v>4</v>
      </c>
      <c r="B8" s="3" t="inlineStr">
        <is>
          <t>NGS 240398</t>
        </is>
      </c>
      <c r="C8" s="4" t="n">
        <v>45754</v>
      </c>
      <c r="D8" s="3" t="inlineStr">
        <is>
          <t>April- 2025</t>
        </is>
      </c>
      <c r="E8" s="3" t="inlineStr">
        <is>
          <t>Dr Kajal Jain</t>
        </is>
      </c>
      <c r="F8" s="3" t="inlineStr">
        <is>
          <t>Aiims Delhi</t>
        </is>
      </c>
      <c r="G8" s="3" t="inlineStr">
        <is>
          <t>Aiims Delhi</t>
        </is>
      </c>
      <c r="H8" s="3" t="inlineStr">
        <is>
          <t>kajaljain12@gmail.com</t>
        </is>
      </c>
      <c r="I8" s="3" t="inlineStr"/>
      <c r="J8" s="3" t="inlineStr">
        <is>
          <t>Whole Genome Sequencing On Illumina</t>
        </is>
      </c>
      <c r="K8" s="3" t="inlineStr">
        <is>
          <t>Wgs</t>
        </is>
      </c>
      <c r="L8" s="3" t="inlineStr">
        <is>
          <t xml:space="preserve">Without Analysis  </t>
        </is>
      </c>
      <c r="M8" s="3" t="n">
        <v>22</v>
      </c>
      <c r="N8" s="3" t="inlineStr"/>
      <c r="O8" s="3" t="inlineStr">
        <is>
          <t>1</t>
        </is>
      </c>
      <c r="P8" s="3" t="n">
        <v>22</v>
      </c>
      <c r="Q8" s="3" t="n">
        <v>3500</v>
      </c>
      <c r="R8" s="3" t="n">
        <v>77000</v>
      </c>
      <c r="S8" s="3" t="n">
        <v>13860</v>
      </c>
      <c r="T8" s="5" t="n">
        <v>90860</v>
      </c>
      <c r="U8" s="5" t="inlineStr">
        <is>
          <t>UG/NGS/TP/2404645R1</t>
        </is>
      </c>
      <c r="V8" s="5" t="inlineStr"/>
      <c r="W8" s="3" t="inlineStr">
        <is>
          <t xml:space="preserve">Nem Singh </t>
        </is>
      </c>
      <c r="X8" s="3" t="inlineStr">
        <is>
          <t>North</t>
        </is>
      </c>
      <c r="Y8" s="3" t="inlineStr">
        <is>
          <t>Delhi</t>
        </is>
      </c>
      <c r="Z8" s="3" t="inlineStr">
        <is>
          <t xml:space="preserve">Yes </t>
        </is>
      </c>
    </row>
    <row r="9">
      <c r="A9" s="3" t="n">
        <v>5</v>
      </c>
      <c r="B9" s="3" t="inlineStr">
        <is>
          <t>NGS 240398</t>
        </is>
      </c>
      <c r="C9" s="4" t="n">
        <v>45754</v>
      </c>
      <c r="D9" s="3" t="inlineStr">
        <is>
          <t>April- 2025</t>
        </is>
      </c>
      <c r="E9" s="3" t="inlineStr">
        <is>
          <t>Dr Kajal Jain</t>
        </is>
      </c>
      <c r="F9" s="3" t="inlineStr">
        <is>
          <t>Aiims Delhi</t>
        </is>
      </c>
      <c r="G9" s="3" t="inlineStr">
        <is>
          <t>Aiims Delhi</t>
        </is>
      </c>
      <c r="H9" s="3" t="inlineStr">
        <is>
          <t>kajaljain12@gmail.com</t>
        </is>
      </c>
      <c r="I9" s="3" t="inlineStr"/>
      <c r="J9" s="3" t="inlineStr">
        <is>
          <t>Whole Genome Sequencing On Illumina</t>
        </is>
      </c>
      <c r="K9" s="3" t="inlineStr">
        <is>
          <t>Wgs</t>
        </is>
      </c>
      <c r="L9" s="3" t="inlineStr">
        <is>
          <t xml:space="preserve">Without Analysis  </t>
        </is>
      </c>
      <c r="M9" s="3" t="n">
        <v>80</v>
      </c>
      <c r="N9" s="3" t="inlineStr"/>
      <c r="O9" s="3" t="inlineStr">
        <is>
          <t>1</t>
        </is>
      </c>
      <c r="P9" s="3" t="n">
        <v>80</v>
      </c>
      <c r="Q9" s="3" t="n">
        <v>3500</v>
      </c>
      <c r="R9" s="3" t="n">
        <v>280000</v>
      </c>
      <c r="S9" s="3" t="n">
        <v>50400</v>
      </c>
      <c r="T9" s="5" t="n">
        <v>330400</v>
      </c>
      <c r="U9" s="5" t="inlineStr">
        <is>
          <t>UG/NGS/TP/2404645R1</t>
        </is>
      </c>
      <c r="V9" s="5" t="inlineStr"/>
      <c r="W9" s="3" t="inlineStr">
        <is>
          <t xml:space="preserve">Nem Singh </t>
        </is>
      </c>
      <c r="X9" s="3" t="inlineStr">
        <is>
          <t>North</t>
        </is>
      </c>
      <c r="Y9" s="3" t="inlineStr">
        <is>
          <t>Delhi</t>
        </is>
      </c>
      <c r="Z9" s="3" t="inlineStr">
        <is>
          <t xml:space="preserve">Yes </t>
        </is>
      </c>
    </row>
    <row r="10">
      <c r="A10" s="3" t="n">
        <v>5</v>
      </c>
      <c r="B10" s="3" t="inlineStr">
        <is>
          <t>NGS 240399</t>
        </is>
      </c>
      <c r="C10" s="4" t="n">
        <v>45755</v>
      </c>
      <c r="D10" s="3" t="inlineStr">
        <is>
          <t>April- 2025</t>
        </is>
      </c>
      <c r="E10" s="3" t="inlineStr">
        <is>
          <t>Sudharson Narayanan</t>
        </is>
      </c>
      <c r="F10" s="3" t="inlineStr">
        <is>
          <t>Symbiont Life Sciences</t>
        </is>
      </c>
      <c r="G10" s="3" t="inlineStr">
        <is>
          <t>Symbiont Life Sciences</t>
        </is>
      </c>
      <c r="H10" s="3" t="inlineStr">
        <is>
          <t>symbiontcs@gmail.com</t>
        </is>
      </c>
      <c r="I10" s="3" t="inlineStr"/>
      <c r="J10" s="3" t="inlineStr">
        <is>
          <t>Transcriptome Sequencing &amp; Analysis On Illumina</t>
        </is>
      </c>
      <c r="K10" s="3" t="inlineStr">
        <is>
          <t>RNA Seq</t>
        </is>
      </c>
      <c r="L10" s="3" t="inlineStr">
        <is>
          <t xml:space="preserve">With Analysis </t>
        </is>
      </c>
      <c r="M10" s="3" t="n">
        <v>6</v>
      </c>
      <c r="N10" s="3" t="inlineStr"/>
      <c r="O10" s="3" t="inlineStr">
        <is>
          <t>9</t>
        </is>
      </c>
      <c r="P10" s="3" t="n">
        <v>54</v>
      </c>
      <c r="Q10" s="3" t="n">
        <v>13500</v>
      </c>
      <c r="R10" s="3" t="n">
        <v>81000</v>
      </c>
      <c r="S10" s="3" t="n">
        <v>14580</v>
      </c>
      <c r="T10" s="5" t="n">
        <v>95580</v>
      </c>
      <c r="U10" s="5" t="inlineStr">
        <is>
          <t>UG/NGS/TP/2409987R1</t>
        </is>
      </c>
      <c r="V10" s="5" t="inlineStr">
        <is>
          <t>UPL/GEN/109/2526</t>
        </is>
      </c>
      <c r="W10" s="3" t="inlineStr">
        <is>
          <t>Direct</t>
        </is>
      </c>
      <c r="X10" s="3" t="inlineStr">
        <is>
          <t>South</t>
        </is>
      </c>
      <c r="Y10" s="3" t="inlineStr">
        <is>
          <t>Chennai</t>
        </is>
      </c>
      <c r="Z10" s="3" t="inlineStr"/>
    </row>
    <row r="11">
      <c r="A11" s="3" t="n">
        <v>6</v>
      </c>
      <c r="B11" s="3" t="inlineStr">
        <is>
          <t>NGS 240400</t>
        </is>
      </c>
      <c r="C11" s="4" t="n">
        <v>45755</v>
      </c>
      <c r="D11" s="3" t="inlineStr">
        <is>
          <t>April- 2025</t>
        </is>
      </c>
      <c r="E11" s="3" t="inlineStr">
        <is>
          <t>Sudharson Narayanan</t>
        </is>
      </c>
      <c r="F11" s="3" t="inlineStr">
        <is>
          <t>Symbiont Life Sciences</t>
        </is>
      </c>
      <c r="G11" s="3" t="inlineStr">
        <is>
          <t>Symbiont Life Sciences</t>
        </is>
      </c>
      <c r="H11" s="3" t="inlineStr">
        <is>
          <t>symbiontcs@gmail.com</t>
        </is>
      </c>
      <c r="I11" s="3" t="inlineStr"/>
      <c r="J11" s="3" t="inlineStr">
        <is>
          <t>Whole Metagenome Sequencing &amp; Analysis On Illumina</t>
        </is>
      </c>
      <c r="K11" s="3" t="inlineStr">
        <is>
          <t>Wgmg</t>
        </is>
      </c>
      <c r="L11" s="3" t="inlineStr">
        <is>
          <t xml:space="preserve">With Analysis </t>
        </is>
      </c>
      <c r="M11" s="3" t="n">
        <v>1</v>
      </c>
      <c r="N11" s="3" t="inlineStr"/>
      <c r="O11" s="3" t="inlineStr">
        <is>
          <t>3</t>
        </is>
      </c>
      <c r="P11" s="3" t="n">
        <v>3</v>
      </c>
      <c r="Q11" s="3" t="n">
        <v>10500</v>
      </c>
      <c r="R11" s="3" t="n">
        <v>10500</v>
      </c>
      <c r="S11" s="3" t="n">
        <v>1890</v>
      </c>
      <c r="T11" s="5" t="n">
        <v>12390</v>
      </c>
      <c r="U11" s="5" t="inlineStr">
        <is>
          <t xml:space="preserve">UG/NGS/TP/2501392  </t>
        </is>
      </c>
      <c r="V11" s="5" t="inlineStr">
        <is>
          <t>UPL/GEN/70/2526</t>
        </is>
      </c>
      <c r="W11" s="3" t="inlineStr">
        <is>
          <t>Direct</t>
        </is>
      </c>
      <c r="X11" s="3" t="inlineStr">
        <is>
          <t>South</t>
        </is>
      </c>
      <c r="Y11" s="3" t="inlineStr">
        <is>
          <t>Chennai</t>
        </is>
      </c>
      <c r="Z11" s="3" t="inlineStr"/>
    </row>
    <row r="12">
      <c r="A12" s="3" t="n">
        <v>6</v>
      </c>
      <c r="B12" s="3" t="inlineStr">
        <is>
          <t>NGS 240401</t>
        </is>
      </c>
      <c r="C12" s="4" t="n">
        <v>45757</v>
      </c>
      <c r="D12" s="3" t="inlineStr">
        <is>
          <t>April- 2025</t>
        </is>
      </c>
      <c r="E12" s="3" t="inlineStr">
        <is>
          <t>Dr. Swagatam Ray</t>
        </is>
      </c>
      <c r="F12" s="3" t="inlineStr">
        <is>
          <t>Intas Pharmaceuticals</t>
        </is>
      </c>
      <c r="G12" s="3" t="inlineStr">
        <is>
          <t>Intas Pharmaceuticals</t>
        </is>
      </c>
      <c r="H12" s="3" t="inlineStr">
        <is>
          <t xml:space="preserve">Swagatam_Ray@intaspharma.com </t>
        </is>
      </c>
      <c r="I12" s="3" t="inlineStr"/>
      <c r="J12" s="3" t="inlineStr">
        <is>
          <t>Car-T Site Integration Analysis</t>
        </is>
      </c>
      <c r="K12" s="3" t="inlineStr">
        <is>
          <t>Car-T Site</t>
        </is>
      </c>
      <c r="L12" s="3" t="inlineStr">
        <is>
          <t xml:space="preserve">With Analysis </t>
        </is>
      </c>
      <c r="M12" s="3" t="n">
        <v>4</v>
      </c>
      <c r="N12" s="3" t="inlineStr"/>
      <c r="O12" s="3" t="inlineStr"/>
      <c r="P12" s="3" t="n">
        <v>0</v>
      </c>
      <c r="Q12" s="3" t="n">
        <v>400000</v>
      </c>
      <c r="R12" s="3" t="n">
        <v>1600000</v>
      </c>
      <c r="S12" s="3" t="n">
        <v>288000</v>
      </c>
      <c r="T12" s="5" t="n">
        <v>1888000</v>
      </c>
      <c r="U12" s="5" t="inlineStr">
        <is>
          <t>UG/NGS/TP/2409997</t>
        </is>
      </c>
      <c r="V12" s="5" t="inlineStr">
        <is>
          <t>UPL/GEN/66/2526</t>
        </is>
      </c>
      <c r="W12" s="3" t="inlineStr">
        <is>
          <t>Direct</t>
        </is>
      </c>
      <c r="X12" s="3" t="inlineStr">
        <is>
          <t>West</t>
        </is>
      </c>
      <c r="Y12" s="3" t="inlineStr">
        <is>
          <t>Ahmedabad</t>
        </is>
      </c>
      <c r="Z12" s="3" t="inlineStr"/>
    </row>
    <row r="13">
      <c r="A13" s="3" t="n">
        <v>7</v>
      </c>
      <c r="B13" s="3" t="inlineStr">
        <is>
          <t>NGS 240402</t>
        </is>
      </c>
      <c r="C13" s="4" t="n">
        <v>45757</v>
      </c>
      <c r="D13" s="3" t="inlineStr">
        <is>
          <t>April- 2025</t>
        </is>
      </c>
      <c r="E13" s="3" t="inlineStr">
        <is>
          <t>Dr. Surajit Baksi</t>
        </is>
      </c>
      <c r="F13" s="3" t="inlineStr">
        <is>
          <t>Hester Biosciences</t>
        </is>
      </c>
      <c r="G13" s="3" t="inlineStr">
        <is>
          <t>Hester Biosciences</t>
        </is>
      </c>
      <c r="H13" s="3" t="inlineStr">
        <is>
          <t>surajit.baksi@hester.in,Pravinsinh.chauhan@hester.in</t>
        </is>
      </c>
      <c r="I13" s="3" t="inlineStr"/>
      <c r="J13" s="3" t="inlineStr">
        <is>
          <t>Cell Line Characterization DNA Based And RNA Based</t>
        </is>
      </c>
      <c r="K13" s="3" t="inlineStr">
        <is>
          <t>Cell Line Characterization DNA Based And</t>
        </is>
      </c>
      <c r="L13" s="3" t="inlineStr">
        <is>
          <t xml:space="preserve">With Analysis </t>
        </is>
      </c>
      <c r="M13" s="3" t="n">
        <v>2</v>
      </c>
      <c r="N13" s="3" t="inlineStr"/>
      <c r="O13" s="3" t="inlineStr">
        <is>
          <t>(DNA Based: 90 GB/sample) (RNA Based: 15 GB/sample)</t>
        </is>
      </c>
      <c r="P13" s="3" t="n">
        <v>105</v>
      </c>
      <c r="Q13" s="3" t="n">
        <v>100000</v>
      </c>
      <c r="R13" s="3" t="n">
        <v>200000</v>
      </c>
      <c r="S13" s="3" t="n">
        <v>36000</v>
      </c>
      <c r="T13" s="5" t="n">
        <v>236000</v>
      </c>
      <c r="U13" s="5" t="inlineStr">
        <is>
          <t>UG/NGS/TP/2504611R1</t>
        </is>
      </c>
      <c r="V13" s="5" t="inlineStr">
        <is>
          <t>UPL/GEN/107/2526</t>
        </is>
      </c>
      <c r="W13" s="3" t="inlineStr">
        <is>
          <t>Direct</t>
        </is>
      </c>
      <c r="X13" s="3" t="inlineStr">
        <is>
          <t>West</t>
        </is>
      </c>
      <c r="Y13" s="3" t="inlineStr">
        <is>
          <t>Ahmedabad</t>
        </is>
      </c>
      <c r="Z13" s="3" t="inlineStr"/>
    </row>
    <row r="14">
      <c r="A14" s="3" t="n">
        <v>7</v>
      </c>
      <c r="B14" s="3" t="inlineStr">
        <is>
          <t>NGS 240403</t>
        </is>
      </c>
      <c r="C14" s="4" t="n">
        <v>45757</v>
      </c>
      <c r="D14" s="3" t="inlineStr">
        <is>
          <t>April- 2025</t>
        </is>
      </c>
      <c r="E14" s="3" t="inlineStr">
        <is>
          <t>Dr. Surajit Baksi</t>
        </is>
      </c>
      <c r="F14" s="3" t="inlineStr">
        <is>
          <t>Hester Biosciences</t>
        </is>
      </c>
      <c r="G14" s="3" t="inlineStr">
        <is>
          <t>Hester Biosciences</t>
        </is>
      </c>
      <c r="H14" s="3" t="inlineStr">
        <is>
          <t>surajit.baksi@hester.in,Pravinsinh.chauhan@hester.in</t>
        </is>
      </c>
      <c r="I14" s="3" t="inlineStr"/>
      <c r="J14" s="3" t="inlineStr">
        <is>
          <t>Viral Whole Genome Sequencing &amp; Analysis On Illumina</t>
        </is>
      </c>
      <c r="K14" s="3" t="inlineStr">
        <is>
          <t>Wgs</t>
        </is>
      </c>
      <c r="L14" s="3" t="inlineStr">
        <is>
          <t xml:space="preserve">With Analysis </t>
        </is>
      </c>
      <c r="M14" s="3" t="n">
        <v>3</v>
      </c>
      <c r="N14" s="3" t="inlineStr"/>
      <c r="O14" s="3" t="inlineStr"/>
      <c r="P14" s="3" t="n">
        <v>0</v>
      </c>
      <c r="Q14" s="3" t="n">
        <v>15000</v>
      </c>
      <c r="R14" s="3" t="n">
        <v>45000</v>
      </c>
      <c r="S14" s="3" t="n">
        <v>8100</v>
      </c>
      <c r="T14" s="5" t="n">
        <v>53100</v>
      </c>
      <c r="U14" s="5" t="inlineStr">
        <is>
          <t>UG/NGS/TP/2504612</t>
        </is>
      </c>
      <c r="V14" s="5" t="inlineStr">
        <is>
          <t>UPL/GEN/108/2526</t>
        </is>
      </c>
      <c r="W14" s="3" t="inlineStr">
        <is>
          <t>Direct</t>
        </is>
      </c>
      <c r="X14" s="3" t="inlineStr">
        <is>
          <t>West</t>
        </is>
      </c>
      <c r="Y14" s="3" t="inlineStr">
        <is>
          <t>Ahmedabad</t>
        </is>
      </c>
      <c r="Z14" s="3" t="inlineStr"/>
    </row>
    <row r="15">
      <c r="A15" s="3" t="n">
        <v>8</v>
      </c>
      <c r="B15" s="3" t="inlineStr">
        <is>
          <t>NGS 240404</t>
        </is>
      </c>
      <c r="C15" s="4" t="n">
        <v>45758</v>
      </c>
      <c r="D15" s="3" t="inlineStr">
        <is>
          <t>April- 2025</t>
        </is>
      </c>
      <c r="E15" s="3" t="inlineStr">
        <is>
          <t>Ankita</t>
        </is>
      </c>
      <c r="F15" s="3" t="inlineStr">
        <is>
          <t>Xploregen Discoveries</t>
        </is>
      </c>
      <c r="G15" s="3" t="inlineStr">
        <is>
          <t>Xploregen Discoveries</t>
        </is>
      </c>
      <c r="H15" s="3" t="inlineStr">
        <is>
          <t>ankita@xploregen.com</t>
        </is>
      </c>
      <c r="I15" s="3" t="inlineStr"/>
      <c r="J15" s="3" t="inlineStr">
        <is>
          <t>Ready To Run Library</t>
        </is>
      </c>
      <c r="K15" s="3" t="inlineStr">
        <is>
          <t>Rtrl</t>
        </is>
      </c>
      <c r="L15" s="3" t="inlineStr">
        <is>
          <t xml:space="preserve">Without Analysis  </t>
        </is>
      </c>
      <c r="M15" s="3" t="n">
        <v>0</v>
      </c>
      <c r="N15" s="3" t="inlineStr"/>
      <c r="O15" s="3" t="inlineStr"/>
      <c r="P15" s="3" t="n">
        <v>0</v>
      </c>
      <c r="Q15" s="3" t="n">
        <v>550</v>
      </c>
      <c r="R15" s="3" t="n">
        <v>92400</v>
      </c>
      <c r="S15" s="3" t="n">
        <v>16632</v>
      </c>
      <c r="T15" s="5" t="n">
        <v>109032</v>
      </c>
      <c r="U15" s="5" t="inlineStr"/>
      <c r="V15" s="5" t="inlineStr">
        <is>
          <t>UPL/GEN/122/2526</t>
        </is>
      </c>
      <c r="W15" s="3" t="inlineStr">
        <is>
          <t>Direct</t>
        </is>
      </c>
      <c r="X15" s="3" t="inlineStr">
        <is>
          <t>South</t>
        </is>
      </c>
      <c r="Y15" s="3" t="inlineStr">
        <is>
          <t>Bengaluru</t>
        </is>
      </c>
      <c r="Z15" s="3" t="inlineStr">
        <is>
          <t xml:space="preserve">Yes </t>
        </is>
      </c>
    </row>
    <row r="16">
      <c r="A16" s="3" t="n">
        <v>8</v>
      </c>
      <c r="B16" s="3" t="inlineStr">
        <is>
          <t>NGS 240404</t>
        </is>
      </c>
      <c r="C16" s="4" t="n">
        <v>45758</v>
      </c>
      <c r="D16" s="3" t="inlineStr">
        <is>
          <t>April- 2025</t>
        </is>
      </c>
      <c r="E16" s="3" t="inlineStr">
        <is>
          <t>Ankita</t>
        </is>
      </c>
      <c r="F16" s="3" t="inlineStr">
        <is>
          <t>Xploregen Discoveries</t>
        </is>
      </c>
      <c r="G16" s="3" t="inlineStr">
        <is>
          <t>Xploregen Discoveries</t>
        </is>
      </c>
      <c r="H16" s="3" t="inlineStr">
        <is>
          <t>ankita@xploregen.com</t>
        </is>
      </c>
      <c r="I16" s="3" t="inlineStr"/>
      <c r="J16" s="3" t="inlineStr">
        <is>
          <t>Library Qc</t>
        </is>
      </c>
      <c r="K16" s="3" t="inlineStr">
        <is>
          <t>Library Qc</t>
        </is>
      </c>
      <c r="L16" s="3" t="inlineStr">
        <is>
          <t xml:space="preserve">Without Analysis  </t>
        </is>
      </c>
      <c r="M16" s="3" t="n">
        <v>3</v>
      </c>
      <c r="N16" s="3" t="inlineStr"/>
      <c r="O16" s="3" t="inlineStr"/>
      <c r="P16" s="3" t="n">
        <v>0</v>
      </c>
      <c r="Q16" s="3" t="n">
        <v>770</v>
      </c>
      <c r="R16" s="3" t="n">
        <v>2310</v>
      </c>
      <c r="S16" s="3" t="n">
        <v>415.8</v>
      </c>
      <c r="T16" s="5" t="n">
        <v>2725.8</v>
      </c>
      <c r="U16" s="5" t="inlineStr"/>
      <c r="V16" s="5" t="inlineStr">
        <is>
          <t>UPL/GEN/122/2526</t>
        </is>
      </c>
      <c r="W16" s="3" t="inlineStr">
        <is>
          <t>Direct</t>
        </is>
      </c>
      <c r="X16" s="3" t="inlineStr">
        <is>
          <t>South</t>
        </is>
      </c>
      <c r="Y16" s="3" t="inlineStr">
        <is>
          <t>Bengaluru</t>
        </is>
      </c>
      <c r="Z16" s="3" t="inlineStr">
        <is>
          <t xml:space="preserve">Yes </t>
        </is>
      </c>
    </row>
    <row r="17">
      <c r="A17" s="3" t="n">
        <v>9</v>
      </c>
      <c r="B17" s="3" t="inlineStr">
        <is>
          <t>NGS 240405</t>
        </is>
      </c>
      <c r="C17" s="4" t="n">
        <v>45758</v>
      </c>
      <c r="D17" s="3" t="inlineStr">
        <is>
          <t>April- 2025</t>
        </is>
      </c>
      <c r="E17" s="3" t="inlineStr">
        <is>
          <t>Dr.Dhruv Pahwa</t>
        </is>
      </c>
      <c r="F17" s="3" t="inlineStr">
        <is>
          <t>IIT Roorkee</t>
        </is>
      </c>
      <c r="G17" s="3" t="inlineStr">
        <is>
          <t>IIT Roorkee</t>
        </is>
      </c>
      <c r="H17" s="3" t="inlineStr">
        <is>
          <t>dhruv_p@bt.iitr.ac.in</t>
        </is>
      </c>
      <c r="I17" s="3" t="inlineStr"/>
      <c r="J17" s="3" t="inlineStr">
        <is>
          <t>Whole Genome Sequencing On Illumina</t>
        </is>
      </c>
      <c r="K17" s="3" t="inlineStr">
        <is>
          <t>Wgs</t>
        </is>
      </c>
      <c r="L17" s="3" t="inlineStr">
        <is>
          <t xml:space="preserve">Without Analysis  </t>
        </is>
      </c>
      <c r="M17" s="3" t="n">
        <v>1</v>
      </c>
      <c r="N17" s="3" t="inlineStr"/>
      <c r="O17" s="3" t="inlineStr">
        <is>
          <t>2</t>
        </is>
      </c>
      <c r="P17" s="3" t="n">
        <v>2</v>
      </c>
      <c r="Q17" s="3" t="inlineStr"/>
      <c r="R17" s="3" t="n">
        <v>0</v>
      </c>
      <c r="S17" s="3" t="n">
        <v>0</v>
      </c>
      <c r="T17" s="5" t="n">
        <v>0</v>
      </c>
      <c r="U17" s="5" t="inlineStr">
        <is>
          <t>UG/NGS/TP/2411201</t>
        </is>
      </c>
      <c r="V17" s="5" t="inlineStr"/>
      <c r="W17" s="3" t="inlineStr"/>
      <c r="X17" s="3" t="inlineStr">
        <is>
          <t>N/A</t>
        </is>
      </c>
      <c r="Y17" s="3" t="inlineStr">
        <is>
          <t>N/A</t>
        </is>
      </c>
      <c r="Z17" s="3" t="inlineStr">
        <is>
          <t xml:space="preserve">Yes </t>
        </is>
      </c>
    </row>
    <row r="18">
      <c r="A18" s="3" t="n">
        <v>9</v>
      </c>
      <c r="B18" s="3" t="inlineStr">
        <is>
          <t>NGS 240406</t>
        </is>
      </c>
      <c r="C18" s="4" t="n">
        <v>45758</v>
      </c>
      <c r="D18" s="3" t="inlineStr">
        <is>
          <t>April- 2025</t>
        </is>
      </c>
      <c r="E18" s="3" t="inlineStr">
        <is>
          <t>Dr. Mary Kiran</t>
        </is>
      </c>
      <c r="F18" s="3" t="inlineStr">
        <is>
          <t>Sriher</t>
        </is>
      </c>
      <c r="G18" s="3" t="inlineStr">
        <is>
          <t>Sriher</t>
        </is>
      </c>
      <c r="H18" s="3" t="inlineStr">
        <is>
          <t>infodiscoveryscientifics@gmail.com</t>
        </is>
      </c>
      <c r="I18" s="3" t="inlineStr"/>
      <c r="J18" s="3" t="inlineStr">
        <is>
          <t>Whole Genome Sequencing &amp; Analysis On Illumina</t>
        </is>
      </c>
      <c r="K18" s="3" t="inlineStr">
        <is>
          <t>Wggg</t>
        </is>
      </c>
      <c r="L18" s="3" t="inlineStr">
        <is>
          <t xml:space="preserve">Without Analysis  </t>
        </is>
      </c>
      <c r="M18" s="3" t="n">
        <v>1</v>
      </c>
      <c r="N18" s="3" t="inlineStr"/>
      <c r="O18" s="3" t="inlineStr">
        <is>
          <t>3</t>
        </is>
      </c>
      <c r="P18" s="3" t="n">
        <v>3</v>
      </c>
      <c r="Q18" s="3" t="n">
        <v>12000</v>
      </c>
      <c r="R18" s="3" t="n">
        <v>12000</v>
      </c>
      <c r="S18" s="3" t="n">
        <v>2160</v>
      </c>
      <c r="T18" s="5" t="n">
        <v>14160</v>
      </c>
      <c r="U18" s="5" t="inlineStr">
        <is>
          <t>UG/NGS/TP/2503607R1</t>
        </is>
      </c>
      <c r="V18" s="5" t="inlineStr">
        <is>
          <t>UPL/GEN/55/2526</t>
        </is>
      </c>
      <c r="W18" s="3" t="inlineStr">
        <is>
          <t>Direct</t>
        </is>
      </c>
      <c r="X18" s="3" t="inlineStr">
        <is>
          <t>South</t>
        </is>
      </c>
      <c r="Y18" s="3" t="inlineStr">
        <is>
          <t>N/A</t>
        </is>
      </c>
      <c r="Z18" s="3" t="inlineStr">
        <is>
          <t xml:space="preserve">Yes </t>
        </is>
      </c>
    </row>
    <row r="19">
      <c r="A19" s="3" t="n">
        <v>10</v>
      </c>
      <c r="B19" s="3" t="inlineStr">
        <is>
          <t>NGS 240406</t>
        </is>
      </c>
      <c r="C19" s="4" t="n">
        <v>45758</v>
      </c>
      <c r="D19" s="3" t="inlineStr">
        <is>
          <t>April- 2025</t>
        </is>
      </c>
      <c r="E19" s="3" t="inlineStr">
        <is>
          <t>Dr. Mary Kiran</t>
        </is>
      </c>
      <c r="F19" s="3" t="inlineStr">
        <is>
          <t>Sriher</t>
        </is>
      </c>
      <c r="G19" s="3" t="inlineStr">
        <is>
          <t>Sriher</t>
        </is>
      </c>
      <c r="H19" s="3" t="inlineStr">
        <is>
          <t>infodiscoveryscientifics@gmail.com</t>
        </is>
      </c>
      <c r="I19" s="3" t="inlineStr"/>
      <c r="J19" s="3" t="inlineStr">
        <is>
          <t>Whole Genome Sequencing &amp; Analysis On Illumina</t>
        </is>
      </c>
      <c r="K19" s="3" t="inlineStr">
        <is>
          <t>Wggg</t>
        </is>
      </c>
      <c r="L19" s="3" t="inlineStr">
        <is>
          <t xml:space="preserve">Without Analysis  </t>
        </is>
      </c>
      <c r="M19" s="3" t="n">
        <v>2</v>
      </c>
      <c r="N19" s="3" t="inlineStr"/>
      <c r="O19" s="3" t="inlineStr">
        <is>
          <t>3</t>
        </is>
      </c>
      <c r="P19" s="3" t="n">
        <v>6</v>
      </c>
      <c r="Q19" s="3" t="n">
        <v>12000</v>
      </c>
      <c r="R19" s="3" t="n">
        <v>24000</v>
      </c>
      <c r="S19" s="3" t="n">
        <v>4320</v>
      </c>
      <c r="T19" s="5" t="n">
        <v>28320</v>
      </c>
      <c r="U19" s="5" t="inlineStr">
        <is>
          <t>UG/NGS/TP/2503607R1</t>
        </is>
      </c>
      <c r="V19" s="5" t="inlineStr">
        <is>
          <t>UPL/GEN/55/2526</t>
        </is>
      </c>
      <c r="W19" s="3" t="inlineStr">
        <is>
          <t>Direct</t>
        </is>
      </c>
      <c r="X19" s="3" t="inlineStr">
        <is>
          <t>South</t>
        </is>
      </c>
      <c r="Y19" s="3" t="inlineStr">
        <is>
          <t>N/A</t>
        </is>
      </c>
      <c r="Z19" s="3" t="inlineStr">
        <is>
          <t xml:space="preserve">Yes </t>
        </is>
      </c>
    </row>
    <row r="20">
      <c r="A20" s="3" t="n">
        <v>10</v>
      </c>
      <c r="B20" s="3" t="inlineStr">
        <is>
          <t>NGS 240407</t>
        </is>
      </c>
      <c r="C20" s="4" t="n">
        <v>45758</v>
      </c>
      <c r="D20" s="3" t="inlineStr">
        <is>
          <t>April- 2025</t>
        </is>
      </c>
      <c r="E20" s="3" t="inlineStr">
        <is>
          <t>Dr. Suceena Alexander</t>
        </is>
      </c>
      <c r="F20" s="3" t="inlineStr">
        <is>
          <t>Cmc Vellore</t>
        </is>
      </c>
      <c r="G20" s="3" t="inlineStr">
        <is>
          <t>Cmc Vellore</t>
        </is>
      </c>
      <c r="H20" s="3" t="inlineStr">
        <is>
          <t>nephrologylab@cmcvellore.ac.in</t>
        </is>
      </c>
      <c r="I20" s="3" t="inlineStr"/>
      <c r="J20" s="3" t="inlineStr">
        <is>
          <t>Whole Exome Sequencing On Illumina</t>
        </is>
      </c>
      <c r="K20" s="3" t="inlineStr">
        <is>
          <t>Whole Exome Sequencing On</t>
        </is>
      </c>
      <c r="L20" s="3" t="inlineStr">
        <is>
          <t xml:space="preserve">Without Analysis  </t>
        </is>
      </c>
      <c r="M20" s="3" t="n">
        <v>18</v>
      </c>
      <c r="N20" s="3" t="inlineStr"/>
      <c r="O20" s="3" t="inlineStr"/>
      <c r="P20" s="3" t="n">
        <v>108</v>
      </c>
      <c r="Q20" s="3" t="inlineStr"/>
      <c r="R20" s="3" t="n">
        <v>0</v>
      </c>
      <c r="S20" s="3" t="n">
        <v>0</v>
      </c>
      <c r="T20" s="5" t="n">
        <v>180000</v>
      </c>
      <c r="U20" s="5" t="inlineStr"/>
      <c r="V20" s="5" t="inlineStr">
        <is>
          <t>UPL-CMC-01-2526</t>
        </is>
      </c>
      <c r="W20" s="3" t="inlineStr">
        <is>
          <t>Direct</t>
        </is>
      </c>
      <c r="X20" s="3" t="inlineStr">
        <is>
          <t>South</t>
        </is>
      </c>
      <c r="Y20" s="3" t="inlineStr">
        <is>
          <t>Vellore</t>
        </is>
      </c>
      <c r="Z20" s="3" t="inlineStr">
        <is>
          <t xml:space="preserve">Yes </t>
        </is>
      </c>
    </row>
    <row r="21">
      <c r="A21" s="3" t="n">
        <v>11</v>
      </c>
      <c r="B21" s="3" t="inlineStr">
        <is>
          <t>NGS 240408</t>
        </is>
      </c>
      <c r="C21" s="4" t="n">
        <v>45759</v>
      </c>
      <c r="D21" s="3" t="inlineStr">
        <is>
          <t>April- 2025</t>
        </is>
      </c>
      <c r="E21" s="3" t="inlineStr">
        <is>
          <t>Sudharson Narayanan</t>
        </is>
      </c>
      <c r="F21" s="3" t="inlineStr">
        <is>
          <t>Symbiont Life Sciences</t>
        </is>
      </c>
      <c r="G21" s="3" t="inlineStr">
        <is>
          <t>Symbiont Life Sciences</t>
        </is>
      </c>
      <c r="H21" s="3" t="inlineStr">
        <is>
          <t>symbiontcs@gmail.com</t>
        </is>
      </c>
      <c r="I21" s="3" t="inlineStr"/>
      <c r="J21" s="3" t="inlineStr">
        <is>
          <t>Mitochondrial Genome Sequencing &amp; Analysis On Illumina Platforms</t>
        </is>
      </c>
      <c r="K21" s="3" t="inlineStr">
        <is>
          <t>N/A</t>
        </is>
      </c>
      <c r="L21" s="3" t="inlineStr">
        <is>
          <t xml:space="preserve">With Analysis </t>
        </is>
      </c>
      <c r="M21" s="3" t="n">
        <v>1</v>
      </c>
      <c r="N21" s="3" t="inlineStr"/>
      <c r="O21" s="3" t="inlineStr">
        <is>
          <t>3</t>
        </is>
      </c>
      <c r="P21" s="3" t="n">
        <v>3</v>
      </c>
      <c r="Q21" s="3" t="n">
        <v>15000</v>
      </c>
      <c r="R21" s="3" t="n">
        <v>15000</v>
      </c>
      <c r="S21" s="3" t="n">
        <v>2700</v>
      </c>
      <c r="T21" s="5" t="n">
        <v>17700</v>
      </c>
      <c r="U21" s="5" t="inlineStr">
        <is>
          <t>UG/NGS/TP/2309855</t>
        </is>
      </c>
      <c r="V21" s="5" t="inlineStr">
        <is>
          <t>UPL/GEN/30/2526</t>
        </is>
      </c>
      <c r="W21" s="3" t="inlineStr">
        <is>
          <t>Direct</t>
        </is>
      </c>
      <c r="X21" s="3" t="inlineStr">
        <is>
          <t>South</t>
        </is>
      </c>
      <c r="Y21" s="3" t="inlineStr">
        <is>
          <t>Chennai</t>
        </is>
      </c>
      <c r="Z21" s="3" t="inlineStr"/>
    </row>
    <row r="22">
      <c r="A22" s="3" t="n">
        <v>11</v>
      </c>
      <c r="B22" s="3" t="inlineStr">
        <is>
          <t>NGS 240409</t>
        </is>
      </c>
      <c r="C22" s="4" t="n">
        <v>45761</v>
      </c>
      <c r="D22" s="3" t="inlineStr">
        <is>
          <t>April- 2025</t>
        </is>
      </c>
      <c r="E22" s="3" t="inlineStr">
        <is>
          <t>Dr. V. Balaji</t>
        </is>
      </c>
      <c r="F22" s="3" t="inlineStr">
        <is>
          <t>Cmc Vellore</t>
        </is>
      </c>
      <c r="G22" s="3" t="inlineStr">
        <is>
          <t>Cmc Vellore</t>
        </is>
      </c>
      <c r="H22" s="3" t="inlineStr">
        <is>
          <t>ayyanmicro@gmail.com / jjj1986@gmail.com</t>
        </is>
      </c>
      <c r="I22" s="3" t="inlineStr"/>
      <c r="J22" s="3" t="inlineStr">
        <is>
          <t>Whole Genome Sequencing On Illumina Novaseq 6000 Platforms</t>
        </is>
      </c>
      <c r="K22" s="3" t="inlineStr">
        <is>
          <t>Whole Genome Sequencing On Illumina</t>
        </is>
      </c>
      <c r="L22" s="3" t="inlineStr">
        <is>
          <t xml:space="preserve">Without Analysis  </t>
        </is>
      </c>
      <c r="M22" s="3" t="n">
        <v>282</v>
      </c>
      <c r="N22" s="3" t="inlineStr"/>
      <c r="O22" s="3" t="inlineStr">
        <is>
          <t>1</t>
        </is>
      </c>
      <c r="P22" s="3" t="n">
        <v>282</v>
      </c>
      <c r="Q22" s="3" t="n">
        <v>2300</v>
      </c>
      <c r="R22" s="3" t="n">
        <v>648600</v>
      </c>
      <c r="S22" s="3" t="n">
        <v>116748</v>
      </c>
      <c r="T22" s="5" t="n">
        <v>765348</v>
      </c>
      <c r="U22" s="5" t="inlineStr"/>
      <c r="V22" s="5" t="inlineStr"/>
      <c r="W22" s="3" t="inlineStr"/>
      <c r="X22" s="3" t="inlineStr">
        <is>
          <t>N/A</t>
        </is>
      </c>
      <c r="Y22" s="3" t="inlineStr">
        <is>
          <t>N/A</t>
        </is>
      </c>
      <c r="Z22" s="3" t="inlineStr">
        <is>
          <t xml:space="preserve">Yes </t>
        </is>
      </c>
    </row>
    <row r="23">
      <c r="A23" s="3" t="n">
        <v>12</v>
      </c>
      <c r="B23" s="3" t="inlineStr">
        <is>
          <t>NGS 240410</t>
        </is>
      </c>
      <c r="C23" s="4" t="n">
        <v>45761</v>
      </c>
      <c r="D23" s="3" t="inlineStr">
        <is>
          <t>April- 2025</t>
        </is>
      </c>
      <c r="E23" s="3" t="inlineStr">
        <is>
          <t>Dr.Sabina</t>
        </is>
      </c>
      <c r="F23" s="3" t="inlineStr">
        <is>
          <t>Adbu</t>
        </is>
      </c>
      <c r="G23" s="3" t="inlineStr">
        <is>
          <t>Adbu</t>
        </is>
      </c>
      <c r="H23" s="3" t="inlineStr">
        <is>
          <t>contact@genespectrum.in</t>
        </is>
      </c>
      <c r="I23" s="3" t="inlineStr"/>
      <c r="J23" s="3" t="inlineStr">
        <is>
          <t>Mrna Sequencing On Illumina</t>
        </is>
      </c>
      <c r="K23" s="3" t="inlineStr">
        <is>
          <t>N/A</t>
        </is>
      </c>
      <c r="L23" s="3" t="inlineStr">
        <is>
          <t xml:space="preserve">Without Analysis  </t>
        </is>
      </c>
      <c r="M23" s="3" t="n">
        <v>2</v>
      </c>
      <c r="N23" s="3" t="inlineStr"/>
      <c r="O23" s="3" t="inlineStr">
        <is>
          <t>6</t>
        </is>
      </c>
      <c r="P23" s="3" t="n">
        <v>12</v>
      </c>
      <c r="Q23" s="3" t="n">
        <v>9000</v>
      </c>
      <c r="R23" s="3" t="n">
        <v>18000</v>
      </c>
      <c r="S23" s="3" t="n">
        <v>3240</v>
      </c>
      <c r="T23" s="5" t="n">
        <v>21240</v>
      </c>
      <c r="U23" s="5" t="inlineStr">
        <is>
          <t>UG/NGS/TP/2502477R1</t>
        </is>
      </c>
      <c r="V23" s="5" t="inlineStr">
        <is>
          <t>UPL/GEN/110/2526</t>
        </is>
      </c>
      <c r="W23" s="3" t="inlineStr">
        <is>
          <t>Direct</t>
        </is>
      </c>
      <c r="X23" s="3" t="inlineStr">
        <is>
          <t>West</t>
        </is>
      </c>
      <c r="Y23" s="3" t="inlineStr">
        <is>
          <t>Maharashtra</t>
        </is>
      </c>
      <c r="Z23" s="3" t="inlineStr">
        <is>
          <t xml:space="preserve">Yes </t>
        </is>
      </c>
    </row>
    <row r="24">
      <c r="A24" s="3" t="n">
        <v>12</v>
      </c>
      <c r="B24" s="3" t="inlineStr">
        <is>
          <t>NGS 240411</t>
        </is>
      </c>
      <c r="C24" s="4" t="n">
        <v>45761</v>
      </c>
      <c r="D24" s="3" t="inlineStr">
        <is>
          <t>April- 2025</t>
        </is>
      </c>
      <c r="E24" s="3" t="inlineStr">
        <is>
          <t>Dr. K C Pandey</t>
        </is>
      </c>
      <c r="F24" s="3" t="inlineStr">
        <is>
          <t>Icmr-Nimr</t>
        </is>
      </c>
      <c r="G24" s="3" t="inlineStr">
        <is>
          <t>Icmr-Nimr</t>
        </is>
      </c>
      <c r="H24" s="3" t="inlineStr">
        <is>
          <t>pandey.kailash70@gmail.com</t>
        </is>
      </c>
      <c r="I24" s="3" t="inlineStr"/>
      <c r="J24" s="3" t="inlineStr">
        <is>
          <t>Whole Genome Sequencing &amp; Analysis On Illumina Platforms</t>
        </is>
      </c>
      <c r="K24" s="3" t="inlineStr">
        <is>
          <t>N/A</t>
        </is>
      </c>
      <c r="L24" s="3" t="inlineStr">
        <is>
          <t xml:space="preserve">With Analysis </t>
        </is>
      </c>
      <c r="M24" s="3" t="n">
        <v>3</v>
      </c>
      <c r="N24" s="3" t="inlineStr">
        <is>
          <t>50 GB/sample (200X)</t>
        </is>
      </c>
      <c r="O24" s="3" t="inlineStr">
        <is>
          <t>50</t>
        </is>
      </c>
      <c r="P24" s="3" t="n">
        <v>150</v>
      </c>
      <c r="Q24" s="3" t="n">
        <v>46000</v>
      </c>
      <c r="R24" s="3" t="n">
        <v>138000</v>
      </c>
      <c r="S24" s="3" t="n">
        <v>24840</v>
      </c>
      <c r="T24" s="5" t="n">
        <v>162840</v>
      </c>
      <c r="U24" s="5" t="inlineStr">
        <is>
          <t>UG/NGS/TP/2409837</t>
        </is>
      </c>
      <c r="V24" s="5" t="inlineStr">
        <is>
          <t>UPL/GEN/60/2526</t>
        </is>
      </c>
      <c r="W24" s="3" t="inlineStr">
        <is>
          <t xml:space="preserve">Nem Singh </t>
        </is>
      </c>
      <c r="X24" s="3" t="inlineStr">
        <is>
          <t>North</t>
        </is>
      </c>
      <c r="Y24" s="3" t="inlineStr">
        <is>
          <t>N/A</t>
        </is>
      </c>
      <c r="Z24" s="3" t="inlineStr"/>
    </row>
    <row r="25">
      <c r="A25" s="3" t="n">
        <v>13</v>
      </c>
      <c r="B25" s="3" t="inlineStr">
        <is>
          <t>NGS 240412</t>
        </is>
      </c>
      <c r="C25" s="4" t="n">
        <v>45761</v>
      </c>
      <c r="D25" s="3" t="inlineStr">
        <is>
          <t>April- 2025</t>
        </is>
      </c>
      <c r="E25" s="3" t="inlineStr">
        <is>
          <t>Krishna Veni Harish</t>
        </is>
      </c>
      <c r="F25" s="3" t="inlineStr">
        <is>
          <t>Kau</t>
        </is>
      </c>
      <c r="G25" s="3" t="inlineStr">
        <is>
          <t>Kau</t>
        </is>
      </c>
      <c r="H25" s="3" t="inlineStr">
        <is>
          <t>krishnaveniharish4@gmail.com</t>
        </is>
      </c>
      <c r="I25" s="3" t="inlineStr"/>
      <c r="J25" s="3" t="inlineStr">
        <is>
          <t>Genotyping By Sequencing &amp; Analysis On Illumina Novaseq X Plus Platform</t>
        </is>
      </c>
      <c r="K25" s="3" t="inlineStr">
        <is>
          <t>Ggpg</t>
        </is>
      </c>
      <c r="L25" s="3" t="inlineStr">
        <is>
          <t xml:space="preserve">With Analysis </t>
        </is>
      </c>
      <c r="M25" s="3" t="n">
        <v>7</v>
      </c>
      <c r="N25" s="3" t="inlineStr">
        <is>
          <t>1 GB/Sample</t>
        </is>
      </c>
      <c r="O25" s="3" t="inlineStr">
        <is>
          <t>1</t>
        </is>
      </c>
      <c r="P25" s="3" t="n">
        <v>7</v>
      </c>
      <c r="Q25" s="3" t="n">
        <v>5000</v>
      </c>
      <c r="R25" s="3" t="n">
        <v>35000</v>
      </c>
      <c r="S25" s="3" t="n">
        <v>6300</v>
      </c>
      <c r="T25" s="5" t="n">
        <v>41300</v>
      </c>
      <c r="U25" s="5" t="inlineStr">
        <is>
          <t>UG/NGS/TP/2501434</t>
        </is>
      </c>
      <c r="V25" s="5" t="inlineStr"/>
      <c r="W25" s="3" t="inlineStr"/>
      <c r="X25" s="3" t="inlineStr">
        <is>
          <t>N/A</t>
        </is>
      </c>
      <c r="Y25" s="3" t="inlineStr">
        <is>
          <t>N/A</t>
        </is>
      </c>
      <c r="Z25" s="3" t="inlineStr"/>
    </row>
    <row r="26">
      <c r="A26" s="3" t="n">
        <v>13</v>
      </c>
      <c r="B26" s="3" t="inlineStr">
        <is>
          <t>NGS 240412</t>
        </is>
      </c>
      <c r="C26" s="4" t="n">
        <v>45761</v>
      </c>
      <c r="D26" s="3" t="inlineStr">
        <is>
          <t>April- 2025</t>
        </is>
      </c>
      <c r="E26" s="3" t="inlineStr">
        <is>
          <t>Krishna Veni Harish</t>
        </is>
      </c>
      <c r="F26" s="3" t="inlineStr">
        <is>
          <t>Kau</t>
        </is>
      </c>
      <c r="G26" s="3" t="inlineStr">
        <is>
          <t>Kau</t>
        </is>
      </c>
      <c r="H26" s="3" t="inlineStr">
        <is>
          <t>krishnaveniharish4@gmail.com</t>
        </is>
      </c>
      <c r="I26" s="3" t="inlineStr"/>
      <c r="J26" s="3" t="inlineStr">
        <is>
          <t>Genotyping By Sequencing &amp; Analysis On Illumina Novaseq X Plus Platform</t>
        </is>
      </c>
      <c r="K26" s="3" t="inlineStr">
        <is>
          <t>Ggpg</t>
        </is>
      </c>
      <c r="L26" s="3" t="inlineStr">
        <is>
          <t xml:space="preserve">With Analysis </t>
        </is>
      </c>
      <c r="M26" s="3" t="n">
        <v>8</v>
      </c>
      <c r="N26" s="3" t="inlineStr">
        <is>
          <t>1 GB/Sample</t>
        </is>
      </c>
      <c r="O26" s="3" t="inlineStr">
        <is>
          <t>1</t>
        </is>
      </c>
      <c r="P26" s="3" t="n">
        <v>8</v>
      </c>
      <c r="Q26" s="3" t="n">
        <v>5000</v>
      </c>
      <c r="R26" s="3" t="n">
        <v>40000</v>
      </c>
      <c r="S26" s="3" t="n">
        <v>7200</v>
      </c>
      <c r="T26" s="5" t="n">
        <v>47200</v>
      </c>
      <c r="U26" s="5" t="inlineStr">
        <is>
          <t>UG/NGS/TP/2501434</t>
        </is>
      </c>
      <c r="V26" s="5" t="inlineStr"/>
      <c r="W26" s="3" t="inlineStr"/>
      <c r="X26" s="3" t="inlineStr">
        <is>
          <t>N/A</t>
        </is>
      </c>
      <c r="Y26" s="3" t="inlineStr">
        <is>
          <t>N/A</t>
        </is>
      </c>
      <c r="Z26" s="3" t="inlineStr"/>
    </row>
    <row r="27">
      <c r="A27" s="3" t="n">
        <v>14</v>
      </c>
      <c r="B27" s="3" t="inlineStr">
        <is>
          <t>NGS 240413</t>
        </is>
      </c>
      <c r="C27" s="4" t="n">
        <v>45763</v>
      </c>
      <c r="D27" s="3" t="inlineStr">
        <is>
          <t>April- 2025</t>
        </is>
      </c>
      <c r="E27" s="3" t="inlineStr">
        <is>
          <t>Dr.Prashant Tembhare</t>
        </is>
      </c>
      <c r="F27" s="3" t="inlineStr">
        <is>
          <t>Tmc-Actrec</t>
        </is>
      </c>
      <c r="G27" s="3" t="inlineStr">
        <is>
          <t>Tmc-Actrec</t>
        </is>
      </c>
      <c r="H27" s="3" t="inlineStr">
        <is>
          <t>docprt@gmail.com / amohantyshraddha57@gmail.com</t>
        </is>
      </c>
      <c r="I27" s="3" t="inlineStr"/>
      <c r="J27" s="3" t="inlineStr">
        <is>
          <t>Whole Transcriptome Sequencing &amp; Analysis On Illumina Platforms</t>
        </is>
      </c>
      <c r="K27" s="3" t="inlineStr">
        <is>
          <t>N/A</t>
        </is>
      </c>
      <c r="L27" s="3" t="inlineStr">
        <is>
          <t xml:space="preserve">With Analysis </t>
        </is>
      </c>
      <c r="M27" s="3" t="n">
        <v>35</v>
      </c>
      <c r="N27" s="3" t="inlineStr">
        <is>
          <t>8-10 GB /sample</t>
        </is>
      </c>
      <c r="O27" s="3" t="inlineStr">
        <is>
          <t>10</t>
        </is>
      </c>
      <c r="P27" s="3" t="n">
        <v>350</v>
      </c>
      <c r="Q27" s="3" t="n">
        <v>16950</v>
      </c>
      <c r="R27" s="3" t="n">
        <v>593250</v>
      </c>
      <c r="S27" s="3" t="n">
        <v>106785</v>
      </c>
      <c r="T27" s="5" t="n">
        <v>700035</v>
      </c>
      <c r="U27" s="5" t="inlineStr">
        <is>
          <t>UG/NGS/TP/2501410</t>
        </is>
      </c>
      <c r="V27" s="5" t="inlineStr"/>
      <c r="W27" s="3" t="inlineStr"/>
      <c r="X27" s="3" t="inlineStr">
        <is>
          <t>N/A</t>
        </is>
      </c>
      <c r="Y27" s="3" t="inlineStr">
        <is>
          <t>N/A</t>
        </is>
      </c>
      <c r="Z27" s="3" t="inlineStr"/>
    </row>
    <row r="28">
      <c r="A28" s="3" t="n">
        <v>14</v>
      </c>
      <c r="B28" s="3" t="inlineStr">
        <is>
          <t>NGS 240413</t>
        </is>
      </c>
      <c r="C28" s="4" t="n">
        <v>45763</v>
      </c>
      <c r="D28" s="3" t="inlineStr">
        <is>
          <t>April- 2025</t>
        </is>
      </c>
      <c r="E28" s="3" t="inlineStr">
        <is>
          <t>Dr.Prashant Tembhare</t>
        </is>
      </c>
      <c r="F28" s="3" t="inlineStr">
        <is>
          <t>Tmc-Actrec</t>
        </is>
      </c>
      <c r="G28" s="3" t="inlineStr">
        <is>
          <t>Tmc-Actrec</t>
        </is>
      </c>
      <c r="H28" s="3" t="inlineStr">
        <is>
          <t>docprt@gmail.com / amohantyshraddha57@gmail.com</t>
        </is>
      </c>
      <c r="I28" s="3" t="inlineStr"/>
      <c r="J28" s="3" t="inlineStr">
        <is>
          <t>Whole Transcriptome Sequencing &amp; Analysis On Illumina Platforms</t>
        </is>
      </c>
      <c r="K28" s="3" t="inlineStr">
        <is>
          <t>N/A</t>
        </is>
      </c>
      <c r="L28" s="3" t="inlineStr">
        <is>
          <t xml:space="preserve">With Analysis </t>
        </is>
      </c>
      <c r="M28" s="3" t="n">
        <v>4</v>
      </c>
      <c r="N28" s="3" t="inlineStr">
        <is>
          <t>8-10 GB /sample</t>
        </is>
      </c>
      <c r="O28" s="3" t="inlineStr">
        <is>
          <t>10</t>
        </is>
      </c>
      <c r="P28" s="3" t="n">
        <v>40</v>
      </c>
      <c r="Q28" s="3" t="n">
        <v>16950</v>
      </c>
      <c r="R28" s="3" t="n">
        <v>67800</v>
      </c>
      <c r="S28" s="3" t="n">
        <v>12204</v>
      </c>
      <c r="T28" s="5" t="n">
        <v>80004</v>
      </c>
      <c r="U28" s="5" t="inlineStr">
        <is>
          <t>UG/NGS/TP/2501410</t>
        </is>
      </c>
      <c r="V28" s="5" t="inlineStr"/>
      <c r="W28" s="3" t="inlineStr"/>
      <c r="X28" s="3" t="inlineStr">
        <is>
          <t>N/A</t>
        </is>
      </c>
      <c r="Y28" s="3" t="inlineStr">
        <is>
          <t>N/A</t>
        </is>
      </c>
      <c r="Z28" s="3" t="inlineStr"/>
    </row>
    <row r="29">
      <c r="A29" s="3" t="n">
        <v>15</v>
      </c>
      <c r="B29" s="3" t="inlineStr">
        <is>
          <t>NGS 240414</t>
        </is>
      </c>
      <c r="C29" s="4" t="n">
        <v>45763</v>
      </c>
      <c r="D29" s="3" t="inlineStr">
        <is>
          <t>April- 2025</t>
        </is>
      </c>
      <c r="E29" s="3" t="inlineStr">
        <is>
          <t>Ankita</t>
        </is>
      </c>
      <c r="F29" s="3" t="inlineStr">
        <is>
          <t>Xploregen Discoveries</t>
        </is>
      </c>
      <c r="G29" s="3" t="inlineStr">
        <is>
          <t>Xploregen Discoveries</t>
        </is>
      </c>
      <c r="H29" s="3" t="inlineStr">
        <is>
          <t>ankita@xploregen.com</t>
        </is>
      </c>
      <c r="I29" s="3" t="inlineStr"/>
      <c r="J29" s="3" t="inlineStr">
        <is>
          <t>Ready To Run Library</t>
        </is>
      </c>
      <c r="K29" s="3" t="inlineStr">
        <is>
          <t>Rtrl</t>
        </is>
      </c>
      <c r="L29" s="3" t="inlineStr">
        <is>
          <t xml:space="preserve">Without Analysis  </t>
        </is>
      </c>
      <c r="M29" s="3" t="n">
        <v>0</v>
      </c>
      <c r="N29" s="3" t="inlineStr">
        <is>
          <t>190</t>
        </is>
      </c>
      <c r="O29" s="3" t="inlineStr"/>
      <c r="P29" s="3" t="n">
        <v>190</v>
      </c>
      <c r="Q29" s="3" t="n">
        <v>550</v>
      </c>
      <c r="R29" s="3" t="n">
        <v>104500</v>
      </c>
      <c r="S29" s="3" t="n">
        <v>18810</v>
      </c>
      <c r="T29" s="5" t="n">
        <v>123310</v>
      </c>
      <c r="U29" s="5" t="inlineStr"/>
      <c r="V29" s="5" t="inlineStr">
        <is>
          <t>UPL/GEN/71/2526</t>
        </is>
      </c>
      <c r="W29" s="3" t="inlineStr"/>
      <c r="X29" s="3" t="inlineStr">
        <is>
          <t>N/A</t>
        </is>
      </c>
      <c r="Y29" s="3" t="inlineStr">
        <is>
          <t>N/A</t>
        </is>
      </c>
      <c r="Z29" s="3" t="inlineStr">
        <is>
          <t xml:space="preserve">Yes </t>
        </is>
      </c>
    </row>
    <row r="30">
      <c r="A30" s="3" t="n">
        <v>15</v>
      </c>
      <c r="B30" s="3" t="inlineStr">
        <is>
          <t>NGS 240414</t>
        </is>
      </c>
      <c r="C30" s="4" t="n">
        <v>45763</v>
      </c>
      <c r="D30" s="3" t="inlineStr">
        <is>
          <t>April- 2025</t>
        </is>
      </c>
      <c r="E30" s="3" t="inlineStr">
        <is>
          <t>Ankita</t>
        </is>
      </c>
      <c r="F30" s="3" t="inlineStr">
        <is>
          <t>Xploregen Discoveries</t>
        </is>
      </c>
      <c r="G30" s="3" t="inlineStr">
        <is>
          <t>Xploregen Discoveries</t>
        </is>
      </c>
      <c r="H30" s="3" t="inlineStr">
        <is>
          <t>ankita@xploregen.com</t>
        </is>
      </c>
      <c r="I30" s="3" t="inlineStr"/>
      <c r="J30" s="3" t="inlineStr">
        <is>
          <t>Qc</t>
        </is>
      </c>
      <c r="K30" s="3" t="inlineStr">
        <is>
          <t>Library Qc</t>
        </is>
      </c>
      <c r="L30" s="3" t="inlineStr">
        <is>
          <t xml:space="preserve">Without Analysis  </t>
        </is>
      </c>
      <c r="M30" s="3" t="n">
        <v>3</v>
      </c>
      <c r="N30" s="3" t="inlineStr"/>
      <c r="O30" s="3" t="inlineStr"/>
      <c r="P30" s="3" t="n">
        <v>0</v>
      </c>
      <c r="Q30" s="3" t="n">
        <v>770</v>
      </c>
      <c r="R30" s="3" t="n">
        <v>2310</v>
      </c>
      <c r="S30" s="3" t="n">
        <v>415.8</v>
      </c>
      <c r="T30" s="5" t="n">
        <v>2725.8</v>
      </c>
      <c r="U30" s="5" t="inlineStr"/>
      <c r="V30" s="5" t="inlineStr">
        <is>
          <t>UPL/GEN/71/2526</t>
        </is>
      </c>
      <c r="W30" s="3" t="inlineStr"/>
      <c r="X30" s="3" t="inlineStr">
        <is>
          <t>N/A</t>
        </is>
      </c>
      <c r="Y30" s="3" t="inlineStr">
        <is>
          <t>N/A</t>
        </is>
      </c>
      <c r="Z30" s="3" t="inlineStr">
        <is>
          <t xml:space="preserve">Yes </t>
        </is>
      </c>
    </row>
    <row r="31">
      <c r="A31" s="3" t="n">
        <v>16</v>
      </c>
      <c r="B31" s="3" t="inlineStr">
        <is>
          <t>NGS 240415</t>
        </is>
      </c>
      <c r="C31" s="4" t="n">
        <v>45763</v>
      </c>
      <c r="D31" s="3" t="inlineStr">
        <is>
          <t>April- 2025</t>
        </is>
      </c>
      <c r="E31" s="3" t="inlineStr">
        <is>
          <t>N/A</t>
        </is>
      </c>
      <c r="F31" s="3" t="inlineStr">
        <is>
          <t>Hester Biosciences</t>
        </is>
      </c>
      <c r="G31" s="3" t="inlineStr">
        <is>
          <t>Hester Biosciences</t>
        </is>
      </c>
      <c r="H31" s="3" t="inlineStr"/>
      <c r="I31" s="3" t="inlineStr"/>
      <c r="J31" s="3" t="inlineStr">
        <is>
          <t>Viral Whole Genome Sequencing &amp; Analysis On Illumina Novaseq X Plus Platform</t>
        </is>
      </c>
      <c r="K31" s="3" t="inlineStr">
        <is>
          <t>Wgs</t>
        </is>
      </c>
      <c r="L31" s="3" t="inlineStr">
        <is>
          <t xml:space="preserve">With Analysis </t>
        </is>
      </c>
      <c r="M31" s="3" t="n">
        <v>3</v>
      </c>
      <c r="N31" s="3" t="inlineStr">
        <is>
          <t>3-4 GB/sample</t>
        </is>
      </c>
      <c r="O31" s="3" t="inlineStr">
        <is>
          <t>4</t>
        </is>
      </c>
      <c r="P31" s="3" t="n">
        <v>12</v>
      </c>
      <c r="Q31" s="3" t="n">
        <v>15000</v>
      </c>
      <c r="R31" s="3" t="n">
        <v>45000</v>
      </c>
      <c r="S31" s="3" t="n">
        <v>8100</v>
      </c>
      <c r="T31" s="5" t="n">
        <v>53100</v>
      </c>
      <c r="U31" s="5" t="inlineStr">
        <is>
          <t>UG/NGS/TP/2504629</t>
        </is>
      </c>
      <c r="V31" s="5" t="inlineStr"/>
      <c r="W31" s="3" t="inlineStr"/>
      <c r="X31" s="3" t="inlineStr">
        <is>
          <t>N/A</t>
        </is>
      </c>
      <c r="Y31" s="3" t="inlineStr">
        <is>
          <t>N/A</t>
        </is>
      </c>
      <c r="Z31" s="3" t="inlineStr"/>
    </row>
    <row r="32">
      <c r="A32" s="3" t="n">
        <v>16</v>
      </c>
      <c r="B32" s="3" t="inlineStr">
        <is>
          <t>NGS 240416</t>
        </is>
      </c>
      <c r="C32" s="4" t="n">
        <v>45765</v>
      </c>
      <c r="D32" s="3" t="inlineStr">
        <is>
          <t>April- 2025</t>
        </is>
      </c>
      <c r="E32" s="3" t="inlineStr">
        <is>
          <t>Dr.Nishat</t>
        </is>
      </c>
      <c r="F32" s="3" t="inlineStr">
        <is>
          <t>Biologia Research</t>
        </is>
      </c>
      <c r="G32" s="3" t="inlineStr">
        <is>
          <t>Biologia Research</t>
        </is>
      </c>
      <c r="H32" s="3" t="inlineStr">
        <is>
          <t>nishat@biologia.co.in</t>
        </is>
      </c>
      <c r="I32" s="3" t="inlineStr"/>
      <c r="J32" s="3" t="inlineStr">
        <is>
          <t>Metatranscriptome Sequencing On Illumina</t>
        </is>
      </c>
      <c r="K32" s="3" t="inlineStr">
        <is>
          <t>N/A</t>
        </is>
      </c>
      <c r="L32" s="3" t="inlineStr">
        <is>
          <t xml:space="preserve">Without Analysis  </t>
        </is>
      </c>
      <c r="M32" s="3" t="n">
        <v>3</v>
      </c>
      <c r="N32" s="3" t="inlineStr">
        <is>
          <t>5-6 GB/sample</t>
        </is>
      </c>
      <c r="O32" s="3" t="inlineStr">
        <is>
          <t>6</t>
        </is>
      </c>
      <c r="P32" s="3" t="n">
        <v>18</v>
      </c>
      <c r="Q32" s="3" t="n">
        <v>12000</v>
      </c>
      <c r="R32" s="3" t="n">
        <v>36000</v>
      </c>
      <c r="S32" s="3" t="n">
        <v>6480</v>
      </c>
      <c r="T32" s="5" t="n">
        <v>42480</v>
      </c>
      <c r="U32" s="5" t="inlineStr">
        <is>
          <t>UG/NGS/TP/2504645</t>
        </is>
      </c>
      <c r="V32" s="5" t="inlineStr">
        <is>
          <t>UPL/GEN/83/2526</t>
        </is>
      </c>
      <c r="W32" s="3" t="inlineStr"/>
      <c r="X32" s="3" t="inlineStr">
        <is>
          <t>N/A</t>
        </is>
      </c>
      <c r="Y32" s="3" t="inlineStr">
        <is>
          <t>N/A</t>
        </is>
      </c>
      <c r="Z32" s="3" t="inlineStr">
        <is>
          <t xml:space="preserve">Yes </t>
        </is>
      </c>
    </row>
    <row r="33">
      <c r="A33" s="3" t="n">
        <v>17</v>
      </c>
      <c r="B33" s="3" t="inlineStr">
        <is>
          <t>NGS 240417</t>
        </is>
      </c>
      <c r="C33" s="4" t="n">
        <v>45765</v>
      </c>
      <c r="D33" s="3" t="inlineStr">
        <is>
          <t>April- 2025</t>
        </is>
      </c>
      <c r="E33" s="3" t="inlineStr">
        <is>
          <t>Dr.Nishat</t>
        </is>
      </c>
      <c r="F33" s="3" t="inlineStr">
        <is>
          <t>Biologia Research</t>
        </is>
      </c>
      <c r="G33" s="3" t="inlineStr">
        <is>
          <t>Biologia Research</t>
        </is>
      </c>
      <c r="H33" s="3" t="inlineStr">
        <is>
          <t>nishat@biologia.co.in</t>
        </is>
      </c>
      <c r="I33" s="3" t="inlineStr"/>
      <c r="J33" s="3" t="inlineStr">
        <is>
          <t>Mrna Sequencing On Illumina</t>
        </is>
      </c>
      <c r="K33" s="3" t="inlineStr">
        <is>
          <t>N/A</t>
        </is>
      </c>
      <c r="L33" s="3" t="inlineStr">
        <is>
          <t xml:space="preserve">Without Analysis  </t>
        </is>
      </c>
      <c r="M33" s="3" t="n">
        <v>26</v>
      </c>
      <c r="N33" s="3" t="inlineStr">
        <is>
          <t>10 GB/Sample</t>
        </is>
      </c>
      <c r="O33" s="3" t="inlineStr">
        <is>
          <t>10</t>
        </is>
      </c>
      <c r="P33" s="3" t="n">
        <v>260</v>
      </c>
      <c r="Q33" s="3" t="n">
        <v>12000</v>
      </c>
      <c r="R33" s="3" t="n">
        <v>312000</v>
      </c>
      <c r="S33" s="3" t="n">
        <v>56160</v>
      </c>
      <c r="T33" s="5" t="n">
        <v>368160</v>
      </c>
      <c r="U33" s="5" t="inlineStr">
        <is>
          <t>UG/NGS/TP/2504644</t>
        </is>
      </c>
      <c r="V33" s="5" t="inlineStr"/>
      <c r="W33" s="3" t="inlineStr"/>
      <c r="X33" s="3" t="inlineStr">
        <is>
          <t>N/A</t>
        </is>
      </c>
      <c r="Y33" s="3" t="inlineStr">
        <is>
          <t>N/A</t>
        </is>
      </c>
      <c r="Z33" s="3" t="inlineStr">
        <is>
          <t xml:space="preserve">Yes </t>
        </is>
      </c>
    </row>
    <row r="34">
      <c r="A34" s="3" t="n">
        <v>17</v>
      </c>
      <c r="B34" s="3" t="inlineStr">
        <is>
          <t>NGS 240418</t>
        </is>
      </c>
      <c r="C34" s="4" t="n">
        <v>45765</v>
      </c>
      <c r="D34" s="3" t="inlineStr">
        <is>
          <t>April- 2025</t>
        </is>
      </c>
      <c r="E34" s="3" t="inlineStr">
        <is>
          <t>Sudharson Narayanan</t>
        </is>
      </c>
      <c r="F34" s="3" t="inlineStr">
        <is>
          <t>Symbiont Life Sciences</t>
        </is>
      </c>
      <c r="G34" s="3" t="inlineStr">
        <is>
          <t>Symbiont Life Sciences</t>
        </is>
      </c>
      <c r="H34" s="3" t="inlineStr">
        <is>
          <t>symbiontcs@gmail.com</t>
        </is>
      </c>
      <c r="I34" s="3" t="inlineStr"/>
      <c r="J34" s="3" t="inlineStr">
        <is>
          <t>Mitochondrial Genome Sequencing &amp; Analysis On Illumina Platforms</t>
        </is>
      </c>
      <c r="K34" s="3" t="inlineStr">
        <is>
          <t>N/A</t>
        </is>
      </c>
      <c r="L34" s="3" t="inlineStr">
        <is>
          <t xml:space="preserve">With Analysis </t>
        </is>
      </c>
      <c r="M34" s="3" t="n">
        <v>1</v>
      </c>
      <c r="N34" s="3" t="inlineStr">
        <is>
          <t>3 GB/sample</t>
        </is>
      </c>
      <c r="O34" s="3" t="inlineStr">
        <is>
          <t>3</t>
        </is>
      </c>
      <c r="P34" s="3" t="n">
        <v>3</v>
      </c>
      <c r="Q34" s="3" t="n">
        <v>15000</v>
      </c>
      <c r="R34" s="3" t="n">
        <v>15000</v>
      </c>
      <c r="S34" s="3" t="n">
        <v>2700</v>
      </c>
      <c r="T34" s="5" t="n">
        <v>17700</v>
      </c>
      <c r="U34" s="5" t="inlineStr">
        <is>
          <t>UG/NGS/TP/2309855</t>
        </is>
      </c>
      <c r="V34" s="5" t="inlineStr"/>
      <c r="W34" s="3" t="inlineStr"/>
      <c r="X34" s="3" t="inlineStr">
        <is>
          <t>N/A</t>
        </is>
      </c>
      <c r="Y34" s="3" t="inlineStr">
        <is>
          <t>N/A</t>
        </is>
      </c>
      <c r="Z34" s="3" t="inlineStr"/>
    </row>
    <row r="35">
      <c r="A35" s="3" t="n">
        <v>18</v>
      </c>
      <c r="B35" s="3" t="inlineStr">
        <is>
          <t>NGS 240419</t>
        </is>
      </c>
      <c r="C35" s="4" t="n">
        <v>45765</v>
      </c>
      <c r="D35" s="3" t="inlineStr">
        <is>
          <t>April- 2025</t>
        </is>
      </c>
      <c r="E35" s="3" t="inlineStr">
        <is>
          <t>Sudharson Narayanan</t>
        </is>
      </c>
      <c r="F35" s="3" t="inlineStr">
        <is>
          <t>Symbiont Life Sciences</t>
        </is>
      </c>
      <c r="G35" s="3" t="inlineStr">
        <is>
          <t>Symbiont Life Sciences</t>
        </is>
      </c>
      <c r="H35" s="3" t="inlineStr">
        <is>
          <t>symbiontcs@gmail.com</t>
        </is>
      </c>
      <c r="I35" s="3" t="inlineStr"/>
      <c r="J35" s="3" t="inlineStr">
        <is>
          <t>Whole Genome Sequencing &amp; Analysis On Illumina Platforms</t>
        </is>
      </c>
      <c r="K35" s="3" t="inlineStr">
        <is>
          <t>N/A</t>
        </is>
      </c>
      <c r="L35" s="3" t="inlineStr">
        <is>
          <t xml:space="preserve">With Analysis </t>
        </is>
      </c>
      <c r="M35" s="3" t="n">
        <v>3</v>
      </c>
      <c r="N35" s="3" t="inlineStr">
        <is>
          <t>45 GB/Sample</t>
        </is>
      </c>
      <c r="O35" s="3" t="inlineStr">
        <is>
          <t>45</t>
        </is>
      </c>
      <c r="P35" s="3" t="n">
        <v>135</v>
      </c>
      <c r="Q35" s="3" t="n">
        <v>39000</v>
      </c>
      <c r="R35" s="3" t="n">
        <v>117000</v>
      </c>
      <c r="S35" s="3" t="n">
        <v>21060</v>
      </c>
      <c r="T35" s="5" t="n">
        <v>138060</v>
      </c>
      <c r="U35" s="5" t="inlineStr">
        <is>
          <t>UG/NGS/TP/2406821</t>
        </is>
      </c>
      <c r="V35" s="5" t="inlineStr">
        <is>
          <t>UPL/GEN/111/2526</t>
        </is>
      </c>
      <c r="W35" s="3" t="inlineStr"/>
      <c r="X35" s="3" t="inlineStr">
        <is>
          <t>N/A</t>
        </is>
      </c>
      <c r="Y35" s="3" t="inlineStr">
        <is>
          <t>N/A</t>
        </is>
      </c>
      <c r="Z35" s="3" t="inlineStr"/>
    </row>
    <row r="36">
      <c r="A36" s="3" t="n">
        <v>18</v>
      </c>
      <c r="B36" s="3" t="inlineStr">
        <is>
          <t>NGS 240419</t>
        </is>
      </c>
      <c r="C36" s="4" t="n">
        <v>45765</v>
      </c>
      <c r="D36" s="3" t="inlineStr">
        <is>
          <t>April- 2025</t>
        </is>
      </c>
      <c r="E36" s="3" t="inlineStr">
        <is>
          <t>Sudharson Narayanan</t>
        </is>
      </c>
      <c r="F36" s="3" t="inlineStr">
        <is>
          <t>Symbiont Life Sciences</t>
        </is>
      </c>
      <c r="G36" s="3" t="inlineStr">
        <is>
          <t>Symbiont Life Sciences</t>
        </is>
      </c>
      <c r="H36" s="3" t="inlineStr">
        <is>
          <t>symbiontcs@gmail.com</t>
        </is>
      </c>
      <c r="I36" s="3" t="inlineStr"/>
      <c r="J36" s="3" t="inlineStr">
        <is>
          <t>Whole Genome Sequencing &amp; Analysis On Illumina Platforms</t>
        </is>
      </c>
      <c r="K36" s="3" t="inlineStr">
        <is>
          <t>N/A</t>
        </is>
      </c>
      <c r="L36" s="3" t="inlineStr">
        <is>
          <t xml:space="preserve">With Analysis </t>
        </is>
      </c>
      <c r="M36" s="3" t="n">
        <v>2</v>
      </c>
      <c r="N36" s="3" t="inlineStr">
        <is>
          <t>45 GB/Sample</t>
        </is>
      </c>
      <c r="O36" s="3" t="inlineStr">
        <is>
          <t>45</t>
        </is>
      </c>
      <c r="P36" s="3" t="n">
        <v>90</v>
      </c>
      <c r="Q36" s="3" t="n">
        <v>39000</v>
      </c>
      <c r="R36" s="3" t="n">
        <v>78000</v>
      </c>
      <c r="S36" s="3" t="n">
        <v>14040</v>
      </c>
      <c r="T36" s="5" t="n">
        <v>92040</v>
      </c>
      <c r="U36" s="5" t="inlineStr">
        <is>
          <t>UG/NGS/TP/2406821</t>
        </is>
      </c>
      <c r="V36" s="5" t="inlineStr">
        <is>
          <t>Fail</t>
        </is>
      </c>
      <c r="W36" s="3" t="inlineStr"/>
      <c r="X36" s="3" t="inlineStr">
        <is>
          <t>N/A</t>
        </is>
      </c>
      <c r="Y36" s="3" t="inlineStr">
        <is>
          <t>N/A</t>
        </is>
      </c>
      <c r="Z36" s="3" t="inlineStr"/>
    </row>
    <row r="37">
      <c r="A37" s="3" t="n">
        <v>19</v>
      </c>
      <c r="B37" s="3" t="inlineStr">
        <is>
          <t>NGS 240420</t>
        </is>
      </c>
      <c r="C37" s="4" t="n">
        <v>45765</v>
      </c>
      <c r="D37" s="3" t="inlineStr">
        <is>
          <t>April- 2025</t>
        </is>
      </c>
      <c r="E37" s="3" t="inlineStr">
        <is>
          <t>Dr. Sheenam Garg</t>
        </is>
      </c>
      <c r="F37" s="3" t="inlineStr">
        <is>
          <t>Pgimer</t>
        </is>
      </c>
      <c r="G37" s="3" t="inlineStr">
        <is>
          <t>Pgimer</t>
        </is>
      </c>
      <c r="H37" s="3" t="inlineStr">
        <is>
          <t>sheenam25garg@gmail.com</t>
        </is>
      </c>
      <c r="I37" s="3" t="inlineStr"/>
      <c r="J37" s="3" t="inlineStr">
        <is>
          <t>Sanger Validation Services</t>
        </is>
      </c>
      <c r="K37" s="3" t="inlineStr">
        <is>
          <t>Sanger</t>
        </is>
      </c>
      <c r="L37" s="3" t="inlineStr">
        <is>
          <t xml:space="preserve">Without Analysis  </t>
        </is>
      </c>
      <c r="M37" s="3" t="n">
        <v>3</v>
      </c>
      <c r="N37" s="3" t="inlineStr"/>
      <c r="O37" s="3" t="inlineStr"/>
      <c r="P37" s="3" t="n">
        <v>0</v>
      </c>
      <c r="Q37" s="3" t="n">
        <v>500</v>
      </c>
      <c r="R37" s="3" t="n">
        <v>1500</v>
      </c>
      <c r="S37" s="3" t="n">
        <v>270</v>
      </c>
      <c r="T37" s="5" t="n">
        <v>1770</v>
      </c>
      <c r="U37" s="5" t="inlineStr">
        <is>
          <t>UG/NGS/TP/2504649</t>
        </is>
      </c>
      <c r="V37" s="5" t="inlineStr">
        <is>
          <t xml:space="preserve">UPL/GEN/98/2526   </t>
        </is>
      </c>
      <c r="W37" s="3" t="inlineStr"/>
      <c r="X37" s="3" t="inlineStr">
        <is>
          <t>N/A</t>
        </is>
      </c>
      <c r="Y37" s="3" t="inlineStr">
        <is>
          <t>N/A</t>
        </is>
      </c>
      <c r="Z37" s="3" t="inlineStr">
        <is>
          <t xml:space="preserve">Yes </t>
        </is>
      </c>
    </row>
    <row r="38">
      <c r="A38" s="3" t="n">
        <v>19</v>
      </c>
      <c r="B38" s="3" t="inlineStr">
        <is>
          <t>NGS 240421</t>
        </is>
      </c>
      <c r="C38" s="4" t="n">
        <v>45765</v>
      </c>
      <c r="D38" s="3" t="inlineStr">
        <is>
          <t>April- 2025</t>
        </is>
      </c>
      <c r="E38" s="3" t="inlineStr">
        <is>
          <t>Dr. Sheenam Garg</t>
        </is>
      </c>
      <c r="F38" s="3" t="inlineStr">
        <is>
          <t>Pgimer</t>
        </is>
      </c>
      <c r="G38" s="3" t="inlineStr">
        <is>
          <t>Pgimer</t>
        </is>
      </c>
      <c r="H38" s="3" t="inlineStr">
        <is>
          <t>sheenam25garg@gmail.com</t>
        </is>
      </c>
      <c r="I38" s="3" t="inlineStr"/>
      <c r="J38" s="3" t="inlineStr">
        <is>
          <t>Targeted Gene Sequencing Using 41 Mb Capture On Illumina</t>
        </is>
      </c>
      <c r="K38" s="3" t="inlineStr">
        <is>
          <t>Egs</t>
        </is>
      </c>
      <c r="L38" s="3" t="inlineStr">
        <is>
          <t xml:space="preserve">Without Analysis  </t>
        </is>
      </c>
      <c r="M38" s="3" t="n">
        <v>12</v>
      </c>
      <c r="N38" s="3" t="inlineStr">
        <is>
          <t>6-7 GB/Sample</t>
        </is>
      </c>
      <c r="O38" s="3" t="inlineStr">
        <is>
          <t>7</t>
        </is>
      </c>
      <c r="P38" s="3" t="n">
        <v>84</v>
      </c>
      <c r="Q38" s="3" t="n">
        <v>11000</v>
      </c>
      <c r="R38" s="3" t="n">
        <v>132000</v>
      </c>
      <c r="S38" s="3" t="n">
        <v>23760</v>
      </c>
      <c r="T38" s="5" t="n">
        <v>155760</v>
      </c>
      <c r="U38" s="5" t="inlineStr">
        <is>
          <t>UG/NGS/TP/2504648</t>
        </is>
      </c>
      <c r="V38" s="5" t="inlineStr">
        <is>
          <t>UPL/GEN/96/2526  UPL/GEN/97/2526</t>
        </is>
      </c>
      <c r="W38" s="3" t="inlineStr"/>
      <c r="X38" s="3" t="inlineStr">
        <is>
          <t>N/A</t>
        </is>
      </c>
      <c r="Y38" s="3" t="inlineStr">
        <is>
          <t>N/A</t>
        </is>
      </c>
      <c r="Z38" s="3" t="inlineStr">
        <is>
          <t xml:space="preserve">Yes </t>
        </is>
      </c>
    </row>
    <row r="39">
      <c r="A39" s="3" t="n">
        <v>20</v>
      </c>
      <c r="B39" s="3" t="inlineStr">
        <is>
          <t>NGS 240422</t>
        </is>
      </c>
      <c r="C39" s="4" t="n">
        <v>45765</v>
      </c>
      <c r="D39" s="3" t="inlineStr">
        <is>
          <t>April- 2025</t>
        </is>
      </c>
      <c r="E39" s="3" t="inlineStr">
        <is>
          <t>Mr. Manikandan S</t>
        </is>
      </c>
      <c r="F39" s="3" t="inlineStr">
        <is>
          <t>Genurem Biosciences Llp</t>
        </is>
      </c>
      <c r="G39" s="3" t="inlineStr">
        <is>
          <t>Genurem Biosciences Llp</t>
        </is>
      </c>
      <c r="H39" s="3" t="inlineStr">
        <is>
          <t>tsgenurem@gmail.com</t>
        </is>
      </c>
      <c r="I39" s="3" t="inlineStr"/>
      <c r="J39" s="3" t="inlineStr">
        <is>
          <t>16S Metagenome V3-V4 Sequencing &amp; Analysis On Illumina Platform</t>
        </is>
      </c>
      <c r="K39" s="3" t="inlineStr">
        <is>
          <t>1Gtg</t>
        </is>
      </c>
      <c r="L39" s="3" t="inlineStr">
        <is>
          <t xml:space="preserve">With Analysis </t>
        </is>
      </c>
      <c r="M39" s="3" t="n">
        <v>4</v>
      </c>
      <c r="N39" s="3" t="inlineStr">
        <is>
          <t>60,000 reads/sample</t>
        </is>
      </c>
      <c r="O39" s="3" t="inlineStr"/>
      <c r="P39" s="3" t="n">
        <v>0</v>
      </c>
      <c r="Q39" s="3" t="n">
        <v>6500</v>
      </c>
      <c r="R39" s="3" t="n">
        <v>26000</v>
      </c>
      <c r="S39" s="3" t="n">
        <v>4680</v>
      </c>
      <c r="T39" s="5" t="n">
        <v>30680</v>
      </c>
      <c r="U39" s="5" t="inlineStr">
        <is>
          <t>UG/NGS/TP/2504651</t>
        </is>
      </c>
      <c r="V39" s="5" t="inlineStr">
        <is>
          <t>UPL/GEN/123/2526</t>
        </is>
      </c>
      <c r="W39" s="3" t="inlineStr"/>
      <c r="X39" s="3" t="inlineStr">
        <is>
          <t>N/A</t>
        </is>
      </c>
      <c r="Y39" s="3" t="inlineStr">
        <is>
          <t>N/A</t>
        </is>
      </c>
      <c r="Z39" s="3" t="inlineStr"/>
    </row>
    <row r="40">
      <c r="A40" s="3" t="n">
        <v>20</v>
      </c>
      <c r="B40" s="3" t="inlineStr">
        <is>
          <t>NGS 240423</t>
        </is>
      </c>
      <c r="C40" s="4" t="n">
        <v>45766</v>
      </c>
      <c r="D40" s="3" t="inlineStr">
        <is>
          <t>April- 2025</t>
        </is>
      </c>
      <c r="E40" s="3" t="inlineStr">
        <is>
          <t>Dr. M. Senthil Kumar</t>
        </is>
      </c>
      <c r="F40" s="3" t="inlineStr">
        <is>
          <t>Iipr-ICAR, Kanpur</t>
        </is>
      </c>
      <c r="G40" s="3" t="inlineStr">
        <is>
          <t>Iipr-ICAR, Kanpur</t>
        </is>
      </c>
      <c r="H40" s="3" t="inlineStr">
        <is>
          <t>senthil_iari@yahoo.co.in</t>
        </is>
      </c>
      <c r="I40" s="3" t="inlineStr"/>
      <c r="J40" s="3" t="inlineStr">
        <is>
          <t>Transcriptome Sequencing &amp; Analysis On Illumina Novaseq X Plus Platform</t>
        </is>
      </c>
      <c r="K40" s="3" t="inlineStr">
        <is>
          <t>N/A</t>
        </is>
      </c>
      <c r="L40" s="3" t="inlineStr">
        <is>
          <t xml:space="preserve">With Analysis </t>
        </is>
      </c>
      <c r="M40" s="3" t="n">
        <v>24</v>
      </c>
      <c r="N40" s="3" t="inlineStr">
        <is>
          <t>8-9GB/sample</t>
        </is>
      </c>
      <c r="O40" s="3" t="inlineStr">
        <is>
          <t>8</t>
        </is>
      </c>
      <c r="P40" s="3" t="n">
        <v>192</v>
      </c>
      <c r="Q40" s="3" t="n">
        <v>11500</v>
      </c>
      <c r="R40" s="3" t="n">
        <v>276000</v>
      </c>
      <c r="S40" s="3" t="n">
        <v>49680</v>
      </c>
      <c r="T40" s="5" t="n">
        <v>325680</v>
      </c>
      <c r="U40" s="5" t="inlineStr">
        <is>
          <t xml:space="preserve">GEM </t>
        </is>
      </c>
      <c r="V40" s="5" t="inlineStr">
        <is>
          <t>UPL/GEN/217/2526</t>
        </is>
      </c>
      <c r="W40" s="3" t="inlineStr"/>
      <c r="X40" s="3" t="inlineStr">
        <is>
          <t>N/A</t>
        </is>
      </c>
      <c r="Y40" s="3" t="inlineStr">
        <is>
          <t>N/A</t>
        </is>
      </c>
      <c r="Z40" s="3" t="inlineStr"/>
    </row>
    <row r="41">
      <c r="A41" s="3" t="n">
        <v>21</v>
      </c>
      <c r="B41" s="3" t="inlineStr">
        <is>
          <t>NGS 240425</t>
        </is>
      </c>
      <c r="C41" s="4" t="n">
        <v>45768</v>
      </c>
      <c r="D41" s="3" t="inlineStr">
        <is>
          <t>April- 2025</t>
        </is>
      </c>
      <c r="E41" s="3" t="inlineStr">
        <is>
          <t>Dr.Deepalika</t>
        </is>
      </c>
      <c r="F41" s="3" t="inlineStr">
        <is>
          <t>Gadvasu</t>
        </is>
      </c>
      <c r="G41" s="3" t="inlineStr">
        <is>
          <t>Gadvasu</t>
        </is>
      </c>
      <c r="H41" s="3" t="inlineStr">
        <is>
          <t>drdeepalikalambhecoh@gmail.com</t>
        </is>
      </c>
      <c r="I41" s="3" t="inlineStr"/>
      <c r="J41" s="3" t="inlineStr">
        <is>
          <t>Whole Genome Metagenomics Sequencing On Illumina Novaseq X Plus Platform</t>
        </is>
      </c>
      <c r="K41" s="3" t="inlineStr">
        <is>
          <t>N/A</t>
        </is>
      </c>
      <c r="L41" s="3" t="inlineStr">
        <is>
          <t xml:space="preserve">Without Analysis  </t>
        </is>
      </c>
      <c r="M41" s="3" t="n">
        <v>5</v>
      </c>
      <c r="N41" s="3" t="inlineStr">
        <is>
          <t>5 GB/ sample</t>
        </is>
      </c>
      <c r="O41" s="3" t="inlineStr">
        <is>
          <t>5</t>
        </is>
      </c>
      <c r="P41" s="3" t="n">
        <v>25</v>
      </c>
      <c r="Q41" s="3" t="inlineStr"/>
      <c r="R41" s="3" t="n">
        <v>0</v>
      </c>
      <c r="S41" s="3" t="n">
        <v>0</v>
      </c>
      <c r="T41" s="5" t="n">
        <v>0</v>
      </c>
      <c r="U41" s="5" t="inlineStr">
        <is>
          <t>UG/NGS/TP/2410175</t>
        </is>
      </c>
      <c r="V41" s="5" t="inlineStr">
        <is>
          <t>UPL/GEN/61/2526</t>
        </is>
      </c>
      <c r="W41" s="3" t="inlineStr"/>
      <c r="X41" s="3" t="inlineStr">
        <is>
          <t>N/A</t>
        </is>
      </c>
      <c r="Y41" s="3" t="inlineStr">
        <is>
          <t>N/A</t>
        </is>
      </c>
      <c r="Z41" s="3" t="inlineStr">
        <is>
          <t xml:space="preserve">Yes </t>
        </is>
      </c>
    </row>
    <row r="42">
      <c r="A42" s="3" t="n">
        <v>21</v>
      </c>
      <c r="B42" s="3" t="inlineStr">
        <is>
          <t>NGS 240427</t>
        </is>
      </c>
      <c r="C42" s="4" t="n">
        <v>45771</v>
      </c>
      <c r="D42" s="3" t="inlineStr">
        <is>
          <t>April- 2025</t>
        </is>
      </c>
      <c r="E42" s="3" t="inlineStr">
        <is>
          <t>Sudharson Narayanan</t>
        </is>
      </c>
      <c r="F42" s="3" t="inlineStr">
        <is>
          <t>Symbiont Life Sciences</t>
        </is>
      </c>
      <c r="G42" s="3" t="inlineStr">
        <is>
          <t>Symbiont Life Sciences</t>
        </is>
      </c>
      <c r="H42" s="3" t="inlineStr">
        <is>
          <t>symbiontcs@gmail.com</t>
        </is>
      </c>
      <c r="I42" s="3" t="inlineStr"/>
      <c r="J42" s="3" t="inlineStr">
        <is>
          <t>Whole Exome Sequencing &amp; Analysis On Illumina Platform</t>
        </is>
      </c>
      <c r="K42" s="3" t="inlineStr">
        <is>
          <t>N/A</t>
        </is>
      </c>
      <c r="L42" s="3" t="inlineStr">
        <is>
          <t xml:space="preserve">With Analysis </t>
        </is>
      </c>
      <c r="M42" s="3" t="n">
        <v>1</v>
      </c>
      <c r="N42" s="3" t="inlineStr">
        <is>
          <t>10-12 GB/sample</t>
        </is>
      </c>
      <c r="O42" s="3" t="inlineStr">
        <is>
          <t>10</t>
        </is>
      </c>
      <c r="P42" s="3" t="n">
        <v>10</v>
      </c>
      <c r="Q42" s="3" t="n">
        <v>10000</v>
      </c>
      <c r="R42" s="3" t="n">
        <v>10000</v>
      </c>
      <c r="S42" s="3" t="n">
        <v>1800</v>
      </c>
      <c r="T42" s="5" t="n">
        <v>11800</v>
      </c>
      <c r="U42" s="5" t="inlineStr">
        <is>
          <t>UG/NGS/TP/2401229</t>
        </is>
      </c>
      <c r="V42" s="5" t="inlineStr">
        <is>
          <t>UPL/GEN/112/2526</t>
        </is>
      </c>
      <c r="W42" s="3" t="inlineStr"/>
      <c r="X42" s="3" t="inlineStr">
        <is>
          <t>N/A</t>
        </is>
      </c>
      <c r="Y42" s="3" t="inlineStr">
        <is>
          <t>N/A</t>
        </is>
      </c>
      <c r="Z42" s="3" t="inlineStr"/>
    </row>
    <row r="43">
      <c r="A43" s="3" t="n">
        <v>22</v>
      </c>
      <c r="B43" s="3" t="inlineStr">
        <is>
          <t>NGS 240428</t>
        </is>
      </c>
      <c r="C43" s="4" t="n">
        <v>45771</v>
      </c>
      <c r="D43" s="3" t="inlineStr">
        <is>
          <t>April- 2025</t>
        </is>
      </c>
      <c r="E43" s="3" t="inlineStr">
        <is>
          <t>Dr Ashutosh Pandey</t>
        </is>
      </c>
      <c r="F43" s="3" t="inlineStr">
        <is>
          <t>Nipgr</t>
        </is>
      </c>
      <c r="G43" s="3" t="inlineStr">
        <is>
          <t>Nipgr</t>
        </is>
      </c>
      <c r="H43" s="3" t="inlineStr">
        <is>
          <t>rajni@nipgr.ac.in</t>
        </is>
      </c>
      <c r="I43" s="3" t="inlineStr"/>
      <c r="J43" s="3" t="inlineStr">
        <is>
          <t>Whole Transcriptome Sequencing &amp; Analysis On Illumina Novaseq X Plus Platform</t>
        </is>
      </c>
      <c r="K43" s="3" t="inlineStr">
        <is>
          <t>Wgtg</t>
        </is>
      </c>
      <c r="L43" s="3" t="inlineStr">
        <is>
          <t xml:space="preserve">With Analysis </t>
        </is>
      </c>
      <c r="M43" s="3" t="n">
        <v>3</v>
      </c>
      <c r="N43" s="3" t="inlineStr">
        <is>
          <t>5 GB /Sample</t>
        </is>
      </c>
      <c r="O43" s="3" t="inlineStr">
        <is>
          <t>5</t>
        </is>
      </c>
      <c r="P43" s="3" t="n">
        <v>15</v>
      </c>
      <c r="Q43" s="3" t="n">
        <v>12000</v>
      </c>
      <c r="R43" s="3" t="n">
        <v>36000</v>
      </c>
      <c r="S43" s="3" t="n">
        <v>6480</v>
      </c>
      <c r="T43" s="5" t="n">
        <v>42480</v>
      </c>
      <c r="U43" s="5" t="inlineStr">
        <is>
          <t>UG/NGS/TP/2504672R1</t>
        </is>
      </c>
      <c r="V43" s="5" t="inlineStr"/>
      <c r="W43" s="3" t="inlineStr"/>
      <c r="X43" s="3" t="inlineStr">
        <is>
          <t>N/A</t>
        </is>
      </c>
      <c r="Y43" s="3" t="inlineStr">
        <is>
          <t>N/A</t>
        </is>
      </c>
      <c r="Z43" s="3" t="inlineStr"/>
    </row>
    <row r="44">
      <c r="A44" s="3" t="n">
        <v>22</v>
      </c>
      <c r="B44" s="3" t="inlineStr">
        <is>
          <t>NGS 240428</t>
        </is>
      </c>
      <c r="C44" s="4" t="n">
        <v>45771</v>
      </c>
      <c r="D44" s="3" t="inlineStr">
        <is>
          <t>April- 2025</t>
        </is>
      </c>
      <c r="E44" s="3" t="inlineStr">
        <is>
          <t>Dr Ashutosh Pandey</t>
        </is>
      </c>
      <c r="F44" s="3" t="inlineStr">
        <is>
          <t>Nipgr</t>
        </is>
      </c>
      <c r="G44" s="3" t="inlineStr">
        <is>
          <t>Nipgr</t>
        </is>
      </c>
      <c r="H44" s="3" t="inlineStr">
        <is>
          <t>rajni@nipgr.ac.in</t>
        </is>
      </c>
      <c r="I44" s="3" t="inlineStr"/>
      <c r="J44" s="3" t="inlineStr">
        <is>
          <t>Whole Transcriptome Sequencing &amp; Analysis On Illumina Novaseq X Plus Platform</t>
        </is>
      </c>
      <c r="K44" s="3" t="inlineStr">
        <is>
          <t>Wgtg</t>
        </is>
      </c>
      <c r="L44" s="3" t="inlineStr">
        <is>
          <t xml:space="preserve">With Analysis </t>
        </is>
      </c>
      <c r="M44" s="3" t="n">
        <v>6</v>
      </c>
      <c r="N44" s="3" t="inlineStr">
        <is>
          <t>5 GB /Sample</t>
        </is>
      </c>
      <c r="O44" s="3" t="inlineStr">
        <is>
          <t>5</t>
        </is>
      </c>
      <c r="P44" s="3" t="n">
        <v>30</v>
      </c>
      <c r="Q44" s="3" t="n">
        <v>12000</v>
      </c>
      <c r="R44" s="3" t="n">
        <v>72000</v>
      </c>
      <c r="S44" s="3" t="n">
        <v>12960</v>
      </c>
      <c r="T44" s="5" t="n">
        <v>84960</v>
      </c>
      <c r="U44" s="5" t="inlineStr">
        <is>
          <t>UG/NGS/TP/2504672R1</t>
        </is>
      </c>
      <c r="V44" s="5" t="inlineStr"/>
      <c r="W44" s="3" t="inlineStr"/>
      <c r="X44" s="3" t="inlineStr">
        <is>
          <t>N/A</t>
        </is>
      </c>
      <c r="Y44" s="3" t="inlineStr">
        <is>
          <t>N/A</t>
        </is>
      </c>
      <c r="Z44" s="3" t="inlineStr"/>
    </row>
    <row r="45">
      <c r="A45" s="3" t="n">
        <v>23</v>
      </c>
      <c r="B45" s="3" t="inlineStr">
        <is>
          <t>NGS 240429</t>
        </is>
      </c>
      <c r="C45" s="4" t="n">
        <v>45771</v>
      </c>
      <c r="D45" s="3" t="inlineStr">
        <is>
          <t>April- 2025</t>
        </is>
      </c>
      <c r="E45" s="3" t="inlineStr">
        <is>
          <t>Dr.Rani Diana Sahni</t>
        </is>
      </c>
      <c r="F45" s="3" t="inlineStr">
        <is>
          <t>Cmc Vellore</t>
        </is>
      </c>
      <c r="G45" s="3" t="inlineStr">
        <is>
          <t>Cmc Vellore</t>
        </is>
      </c>
      <c r="H45" s="3" t="inlineStr">
        <is>
          <t xml:space="preserve">rdsahni@hotmail.com / sujithangamani1994@gmail.com </t>
        </is>
      </c>
      <c r="I45" s="3" t="inlineStr"/>
      <c r="J45" s="3" t="inlineStr">
        <is>
          <t>Whole Genome Sequencing On Illumina</t>
        </is>
      </c>
      <c r="K45" s="3" t="inlineStr">
        <is>
          <t>Whole Genome Sequencing On Illumina Novaseq X</t>
        </is>
      </c>
      <c r="L45" s="3" t="inlineStr">
        <is>
          <t xml:space="preserve">Without Analysis  </t>
        </is>
      </c>
      <c r="M45" s="3" t="n">
        <v>14</v>
      </c>
      <c r="N45" s="3" t="inlineStr">
        <is>
          <t>4 GB/sample</t>
        </is>
      </c>
      <c r="O45" s="3" t="inlineStr">
        <is>
          <t>4</t>
        </is>
      </c>
      <c r="P45" s="3" t="n">
        <v>56</v>
      </c>
      <c r="Q45" s="3" t="n">
        <v>6000</v>
      </c>
      <c r="R45" s="3" t="n">
        <v>84000</v>
      </c>
      <c r="S45" s="3" t="n">
        <v>15120</v>
      </c>
      <c r="T45" s="5" t="n">
        <v>99120</v>
      </c>
      <c r="U45" s="5" t="inlineStr">
        <is>
          <t>UG/NGS/TP/2504646</t>
        </is>
      </c>
      <c r="V45" s="5" t="inlineStr">
        <is>
          <t>Fail</t>
        </is>
      </c>
      <c r="W45" s="3" t="inlineStr"/>
      <c r="X45" s="3" t="inlineStr">
        <is>
          <t>N/A</t>
        </is>
      </c>
      <c r="Y45" s="3" t="inlineStr">
        <is>
          <t>N/A</t>
        </is>
      </c>
      <c r="Z45" s="3" t="inlineStr"/>
    </row>
    <row r="46">
      <c r="A46" s="3" t="n">
        <v>23</v>
      </c>
      <c r="B46" s="3" t="inlineStr">
        <is>
          <t>NGS 240429</t>
        </is>
      </c>
      <c r="C46" s="4" t="n">
        <v>45771</v>
      </c>
      <c r="D46" s="3" t="inlineStr">
        <is>
          <t>April- 2025</t>
        </is>
      </c>
      <c r="E46" s="3" t="inlineStr">
        <is>
          <t>Dr.Rani Diana Sahni</t>
        </is>
      </c>
      <c r="F46" s="3" t="inlineStr">
        <is>
          <t>Cmc Vellore</t>
        </is>
      </c>
      <c r="G46" s="3" t="inlineStr">
        <is>
          <t>Cmc Vellore</t>
        </is>
      </c>
      <c r="H46" s="3" t="inlineStr">
        <is>
          <t xml:space="preserve">rdsahni@hotmail.com / sujithangamani1994@gmail.com </t>
        </is>
      </c>
      <c r="I46" s="3" t="inlineStr"/>
      <c r="J46" s="3" t="inlineStr">
        <is>
          <t>Whole Genome Sequencing On Illumina</t>
        </is>
      </c>
      <c r="K46" s="3" t="inlineStr">
        <is>
          <t>Whole Genome Sequencing On Illumina Novaseq X</t>
        </is>
      </c>
      <c r="L46" s="3" t="inlineStr">
        <is>
          <t xml:space="preserve">Without Analysis  </t>
        </is>
      </c>
      <c r="M46" s="3" t="n">
        <v>2</v>
      </c>
      <c r="N46" s="3" t="inlineStr">
        <is>
          <t>4 GB/sample</t>
        </is>
      </c>
      <c r="O46" s="3" t="inlineStr">
        <is>
          <t>4</t>
        </is>
      </c>
      <c r="P46" s="3" t="n">
        <v>8</v>
      </c>
      <c r="Q46" s="3" t="n">
        <v>6000</v>
      </c>
      <c r="R46" s="3" t="n">
        <v>12000</v>
      </c>
      <c r="S46" s="3" t="n">
        <v>2160</v>
      </c>
      <c r="T46" s="5" t="n">
        <v>14160</v>
      </c>
      <c r="U46" s="5" t="inlineStr">
        <is>
          <t>UG/NGS/TP/2504646</t>
        </is>
      </c>
      <c r="V46" s="5" t="inlineStr">
        <is>
          <t>UPL/GEN/162/2526</t>
        </is>
      </c>
      <c r="W46" s="3" t="inlineStr"/>
      <c r="X46" s="3" t="inlineStr">
        <is>
          <t>N/A</t>
        </is>
      </c>
      <c r="Y46" s="3" t="inlineStr">
        <is>
          <t>N/A</t>
        </is>
      </c>
      <c r="Z46" s="3" t="inlineStr">
        <is>
          <t xml:space="preserve">Yes </t>
        </is>
      </c>
    </row>
    <row r="47">
      <c r="A47" s="3" t="n">
        <v>24</v>
      </c>
      <c r="B47" s="3" t="inlineStr">
        <is>
          <t>NGS 240430</t>
        </is>
      </c>
      <c r="C47" s="4" t="n">
        <v>45771</v>
      </c>
      <c r="D47" s="3" t="inlineStr">
        <is>
          <t>April- 2025</t>
        </is>
      </c>
      <c r="E47" s="3" t="inlineStr">
        <is>
          <t>Dr.Dillip Gore</t>
        </is>
      </c>
      <c r="F47" s="3" t="inlineStr">
        <is>
          <t>Econext Unit Of Sai Biosystems</t>
        </is>
      </c>
      <c r="G47" s="3" t="inlineStr">
        <is>
          <t>Econext Unit Of Sai Biosystems</t>
        </is>
      </c>
      <c r="H47" s="3" t="inlineStr">
        <is>
          <t>saibiosystems@gmail.com</t>
        </is>
      </c>
      <c r="I47" s="3" t="inlineStr"/>
      <c r="J47" s="3" t="inlineStr">
        <is>
          <t>Low Pass Whole Genome Sequencing On Illumina</t>
        </is>
      </c>
      <c r="K47" s="3" t="inlineStr">
        <is>
          <t>Sgs</t>
        </is>
      </c>
      <c r="L47" s="3" t="inlineStr">
        <is>
          <t xml:space="preserve">With Analysis </t>
        </is>
      </c>
      <c r="M47" s="3" t="n">
        <v>2</v>
      </c>
      <c r="N47" s="3" t="inlineStr">
        <is>
          <t>15 GB/sample</t>
        </is>
      </c>
      <c r="O47" s="3" t="inlineStr">
        <is>
          <t>15</t>
        </is>
      </c>
      <c r="P47" s="3" t="n">
        <v>30</v>
      </c>
      <c r="Q47" s="3" t="n">
        <v>12000</v>
      </c>
      <c r="R47" s="3" t="n">
        <v>24000</v>
      </c>
      <c r="S47" s="3" t="n">
        <v>4320</v>
      </c>
      <c r="T47" s="5" t="n">
        <v>28320</v>
      </c>
      <c r="U47" s="5" t="inlineStr">
        <is>
          <t>UG/NGS/TP/2502531</t>
        </is>
      </c>
      <c r="V47" s="5" t="inlineStr">
        <is>
          <t>UPL/GEN/101/2526</t>
        </is>
      </c>
      <c r="W47" s="3" t="inlineStr"/>
      <c r="X47" s="3" t="inlineStr">
        <is>
          <t>N/A</t>
        </is>
      </c>
      <c r="Y47" s="3" t="inlineStr">
        <is>
          <t>N/A</t>
        </is>
      </c>
      <c r="Z47" s="3" t="inlineStr"/>
    </row>
    <row r="48">
      <c r="A48" s="3" t="n">
        <v>24</v>
      </c>
      <c r="B48" s="3" t="inlineStr">
        <is>
          <t>NGS 240431</t>
        </is>
      </c>
      <c r="C48" s="4" t="n">
        <v>45771</v>
      </c>
      <c r="D48" s="3" t="inlineStr">
        <is>
          <t>April- 2025</t>
        </is>
      </c>
      <c r="E48" s="3" t="inlineStr">
        <is>
          <t>Ankita</t>
        </is>
      </c>
      <c r="F48" s="3" t="inlineStr">
        <is>
          <t>Xploregen Discoveries</t>
        </is>
      </c>
      <c r="G48" s="3" t="inlineStr">
        <is>
          <t>Xploregen Discoveries</t>
        </is>
      </c>
      <c r="H48" s="3" t="inlineStr">
        <is>
          <t>ankita@xploregen.com</t>
        </is>
      </c>
      <c r="I48" s="3" t="inlineStr"/>
      <c r="J48" s="3" t="inlineStr">
        <is>
          <t>Ready To Run Library</t>
        </is>
      </c>
      <c r="K48" s="3" t="inlineStr">
        <is>
          <t>Rtrl</t>
        </is>
      </c>
      <c r="L48" s="3" t="inlineStr">
        <is>
          <t xml:space="preserve">Without Analysis  </t>
        </is>
      </c>
      <c r="M48" s="3" t="n">
        <v>0</v>
      </c>
      <c r="N48" s="3" t="inlineStr"/>
      <c r="O48" s="3" t="inlineStr"/>
      <c r="P48" s="3" t="n">
        <v>170</v>
      </c>
      <c r="Q48" s="3" t="n">
        <v>550</v>
      </c>
      <c r="R48" s="3" t="n">
        <v>28900</v>
      </c>
      <c r="S48" s="3" t="n">
        <v>5202</v>
      </c>
      <c r="T48" s="5" t="n">
        <v>34102</v>
      </c>
      <c r="U48" s="5" t="inlineStr"/>
      <c r="V48" s="5" t="inlineStr">
        <is>
          <t>UPL/GEN/74/2526</t>
        </is>
      </c>
      <c r="W48" s="3" t="inlineStr"/>
      <c r="X48" s="3" t="inlineStr">
        <is>
          <t>N/A</t>
        </is>
      </c>
      <c r="Y48" s="3" t="inlineStr">
        <is>
          <t>N/A</t>
        </is>
      </c>
      <c r="Z48" s="3" t="inlineStr">
        <is>
          <t xml:space="preserve">Yes </t>
        </is>
      </c>
    </row>
    <row r="49">
      <c r="A49" s="3" t="n">
        <v>25</v>
      </c>
      <c r="B49" s="3" t="inlineStr">
        <is>
          <t>NGS 240431</t>
        </is>
      </c>
      <c r="C49" s="4" t="n">
        <v>45771</v>
      </c>
      <c r="D49" s="3" t="inlineStr">
        <is>
          <t>April- 2025</t>
        </is>
      </c>
      <c r="E49" s="3" t="inlineStr">
        <is>
          <t>Ankita</t>
        </is>
      </c>
      <c r="F49" s="3" t="inlineStr">
        <is>
          <t>Xploregen Discoveries</t>
        </is>
      </c>
      <c r="G49" s="3" t="inlineStr">
        <is>
          <t>Xploregen Discoveries</t>
        </is>
      </c>
      <c r="H49" s="3" t="inlineStr">
        <is>
          <t>ankita@xploregen.com</t>
        </is>
      </c>
      <c r="I49" s="3" t="inlineStr"/>
      <c r="J49" s="3" t="inlineStr">
        <is>
          <t>Qc</t>
        </is>
      </c>
      <c r="K49" s="3" t="inlineStr">
        <is>
          <t>Library Qc</t>
        </is>
      </c>
      <c r="L49" s="3" t="inlineStr">
        <is>
          <t xml:space="preserve">Without Analysis  </t>
        </is>
      </c>
      <c r="M49" s="3" t="n">
        <v>3</v>
      </c>
      <c r="N49" s="3" t="inlineStr"/>
      <c r="O49" s="3" t="inlineStr"/>
      <c r="P49" s="3" t="n">
        <v>0</v>
      </c>
      <c r="Q49" s="3" t="n">
        <v>770</v>
      </c>
      <c r="R49" s="3" t="n">
        <v>2310</v>
      </c>
      <c r="S49" s="3" t="n">
        <v>415.8</v>
      </c>
      <c r="T49" s="5" t="n">
        <v>2725.8</v>
      </c>
      <c r="U49" s="5" t="inlineStr"/>
      <c r="V49" s="5" t="inlineStr">
        <is>
          <t>UPL/GEN/74/2526</t>
        </is>
      </c>
      <c r="W49" s="3" t="inlineStr"/>
      <c r="X49" s="3" t="inlineStr">
        <is>
          <t>N/A</t>
        </is>
      </c>
      <c r="Y49" s="3" t="inlineStr">
        <is>
          <t>N/A</t>
        </is>
      </c>
      <c r="Z49" s="3" t="inlineStr">
        <is>
          <t xml:space="preserve">Yes </t>
        </is>
      </c>
    </row>
    <row r="50">
      <c r="A50" s="3" t="n">
        <v>25</v>
      </c>
      <c r="B50" s="3" t="inlineStr">
        <is>
          <t>NGS 240432</t>
        </is>
      </c>
      <c r="C50" s="4" t="n">
        <v>45777</v>
      </c>
      <c r="D50" s="3" t="inlineStr">
        <is>
          <t>April- 2025</t>
        </is>
      </c>
      <c r="E50" s="3" t="inlineStr">
        <is>
          <t>Dr. Bhoj Kumar Acharya</t>
        </is>
      </c>
      <c r="F50" s="3" t="inlineStr">
        <is>
          <t>Sikkim University</t>
        </is>
      </c>
      <c r="G50" s="3" t="inlineStr">
        <is>
          <t>Sikkim University</t>
        </is>
      </c>
      <c r="H50" s="3" t="inlineStr">
        <is>
          <t>bkacharya@cus.ac.in</t>
        </is>
      </c>
      <c r="I50" s="3" t="inlineStr"/>
      <c r="J50" s="3" t="inlineStr">
        <is>
          <t>Whole Transcriptome Sequencing &amp; Analysis On Illumina Platforms</t>
        </is>
      </c>
      <c r="K50" s="3" t="inlineStr">
        <is>
          <t>N/A</t>
        </is>
      </c>
      <c r="L50" s="3" t="inlineStr">
        <is>
          <t xml:space="preserve">With Analysis </t>
        </is>
      </c>
      <c r="M50" s="3" t="n">
        <v>4</v>
      </c>
      <c r="N50" s="3" t="inlineStr">
        <is>
          <t>7-8 GB/Sample</t>
        </is>
      </c>
      <c r="O50" s="3" t="inlineStr">
        <is>
          <t>8</t>
        </is>
      </c>
      <c r="P50" s="3" t="n">
        <v>32</v>
      </c>
      <c r="Q50" s="3" t="n">
        <v>11000</v>
      </c>
      <c r="R50" s="3" t="n">
        <v>44000</v>
      </c>
      <c r="S50" s="3" t="n">
        <v>7920</v>
      </c>
      <c r="T50" s="5" t="n">
        <v>51920</v>
      </c>
      <c r="U50" s="5" t="inlineStr"/>
      <c r="V50" s="5" t="inlineStr">
        <is>
          <t xml:space="preserve">UPL/GEN/115/2526 </t>
        </is>
      </c>
      <c r="W50" s="3" t="inlineStr"/>
      <c r="X50" s="3" t="inlineStr">
        <is>
          <t>N/A</t>
        </is>
      </c>
      <c r="Y50" s="3" t="inlineStr">
        <is>
          <t>N/A</t>
        </is>
      </c>
      <c r="Z50" s="3" t="inlineStr"/>
    </row>
    <row r="51">
      <c r="A51" s="3" t="n">
        <v>26</v>
      </c>
      <c r="B51" s="3" t="inlineStr">
        <is>
          <t>NGS 240433</t>
        </is>
      </c>
      <c r="C51" s="4" t="n">
        <v>45776</v>
      </c>
      <c r="D51" s="3" t="inlineStr">
        <is>
          <t>April- 2025</t>
        </is>
      </c>
      <c r="E51" s="3" t="inlineStr">
        <is>
          <t>Dr.Samson Mani</t>
        </is>
      </c>
      <c r="F51" s="3" t="inlineStr">
        <is>
          <t>Cancer Institute (Wia)</t>
        </is>
      </c>
      <c r="G51" s="3" t="inlineStr">
        <is>
          <t>Cancer Institute (Wia)</t>
        </is>
      </c>
      <c r="H51" s="3" t="inlineStr">
        <is>
          <t>hemarajan2997@gmail.com</t>
        </is>
      </c>
      <c r="I51" s="3" t="inlineStr"/>
      <c r="J51" s="3" t="inlineStr">
        <is>
          <t>Whole Exome Sequencing On Illumina Novaseq X Plus Platform</t>
        </is>
      </c>
      <c r="K51" s="3" t="inlineStr">
        <is>
          <t>N/A</t>
        </is>
      </c>
      <c r="L51" s="3" t="inlineStr">
        <is>
          <t xml:space="preserve">Without Analysis  </t>
        </is>
      </c>
      <c r="M51" s="3" t="n">
        <v>12</v>
      </c>
      <c r="N51" s="3" t="inlineStr">
        <is>
          <t>8-10 GB/Sample</t>
        </is>
      </c>
      <c r="O51" s="3" t="inlineStr">
        <is>
          <t>10</t>
        </is>
      </c>
      <c r="P51" s="3" t="n">
        <v>120</v>
      </c>
      <c r="Q51" s="3" t="n">
        <v>10000</v>
      </c>
      <c r="R51" s="3" t="n">
        <v>120000</v>
      </c>
      <c r="S51" s="3" t="n">
        <v>21600</v>
      </c>
      <c r="T51" s="5" t="n">
        <v>141600</v>
      </c>
      <c r="U51" s="5" t="inlineStr">
        <is>
          <t>UG/NGS/TP/2502522</t>
        </is>
      </c>
      <c r="V51" s="5" t="inlineStr"/>
      <c r="W51" s="3" t="inlineStr"/>
      <c r="X51" s="3" t="inlineStr">
        <is>
          <t>N/A</t>
        </is>
      </c>
      <c r="Y51" s="3" t="inlineStr">
        <is>
          <t>N/A</t>
        </is>
      </c>
      <c r="Z51" s="3" t="inlineStr">
        <is>
          <t xml:space="preserve">Yes </t>
        </is>
      </c>
    </row>
    <row r="52">
      <c r="A52" s="3" t="n">
        <v>26</v>
      </c>
      <c r="B52" s="3" t="inlineStr">
        <is>
          <t>NGS 240434</t>
        </is>
      </c>
      <c r="C52" s="4" t="n">
        <v>45776</v>
      </c>
      <c r="D52" s="3" t="inlineStr">
        <is>
          <t>April- 2025</t>
        </is>
      </c>
      <c r="E52" s="3" t="inlineStr">
        <is>
          <t>Dr.Samson Mani</t>
        </is>
      </c>
      <c r="F52" s="3" t="inlineStr">
        <is>
          <t>Cancer Institute (Wia)</t>
        </is>
      </c>
      <c r="G52" s="3" t="inlineStr">
        <is>
          <t>Cancer Institute (Wia)</t>
        </is>
      </c>
      <c r="H52" s="3" t="inlineStr">
        <is>
          <t>hemarajan2997@gmail.com</t>
        </is>
      </c>
      <c r="I52" s="3" t="inlineStr"/>
      <c r="J52" s="3" t="inlineStr">
        <is>
          <t>Transcriptome Sequencing On Illumina Platforms</t>
        </is>
      </c>
      <c r="K52" s="3" t="inlineStr">
        <is>
          <t>N/A</t>
        </is>
      </c>
      <c r="L52" s="3" t="inlineStr">
        <is>
          <t xml:space="preserve">Without Analysis  </t>
        </is>
      </c>
      <c r="M52" s="3" t="n">
        <v>12</v>
      </c>
      <c r="N52" s="3" t="inlineStr">
        <is>
          <t>30 GB/Sample</t>
        </is>
      </c>
      <c r="O52" s="3" t="inlineStr">
        <is>
          <t>30</t>
        </is>
      </c>
      <c r="P52" s="3" t="n">
        <v>360</v>
      </c>
      <c r="Q52" s="3" t="n">
        <v>23000</v>
      </c>
      <c r="R52" s="3" t="n">
        <v>276000</v>
      </c>
      <c r="S52" s="3" t="n">
        <v>49680</v>
      </c>
      <c r="T52" s="5" t="n">
        <v>325680</v>
      </c>
      <c r="U52" s="5" t="inlineStr">
        <is>
          <t>UG/NGS/TP/2502523</t>
        </is>
      </c>
      <c r="V52" s="5" t="inlineStr">
        <is>
          <t>UPL/GEN/320/2425</t>
        </is>
      </c>
      <c r="W52" s="3" t="inlineStr"/>
      <c r="X52" s="3" t="inlineStr">
        <is>
          <t>N/A</t>
        </is>
      </c>
      <c r="Y52" s="3" t="inlineStr">
        <is>
          <t>N/A</t>
        </is>
      </c>
      <c r="Z52" s="3" t="inlineStr">
        <is>
          <t xml:space="preserve">Yes </t>
        </is>
      </c>
    </row>
    <row r="53">
      <c r="A53" s="3" t="n">
        <v>27</v>
      </c>
      <c r="B53" s="3" t="inlineStr">
        <is>
          <t>NGS 240435</t>
        </is>
      </c>
      <c r="C53" s="4" t="n">
        <v>45776</v>
      </c>
      <c r="D53" s="3" t="inlineStr">
        <is>
          <t>April- 2025</t>
        </is>
      </c>
      <c r="E53" s="3" t="inlineStr">
        <is>
          <t>Dr. Pritha Bhattacharjee</t>
        </is>
      </c>
      <c r="F53" s="3" t="inlineStr">
        <is>
          <t>Sctimst</t>
        </is>
      </c>
      <c r="G53" s="3" t="inlineStr">
        <is>
          <t>Sctimst</t>
        </is>
      </c>
      <c r="H53" s="3" t="inlineStr">
        <is>
          <t>777.pritha@gmail.com</t>
        </is>
      </c>
      <c r="I53" s="3" t="inlineStr"/>
      <c r="J53" s="3" t="inlineStr">
        <is>
          <t>Whole Exome Sequencing &amp; Analysis On Illumina</t>
        </is>
      </c>
      <c r="K53" s="3" t="inlineStr">
        <is>
          <t>Egs</t>
        </is>
      </c>
      <c r="L53" s="3" t="inlineStr">
        <is>
          <t xml:space="preserve">With Analysis </t>
        </is>
      </c>
      <c r="M53" s="3" t="n">
        <v>12</v>
      </c>
      <c r="N53" s="3" t="inlineStr">
        <is>
          <t>500X coverage</t>
        </is>
      </c>
      <c r="O53" s="3" t="inlineStr"/>
      <c r="P53" s="3" t="n">
        <v>0</v>
      </c>
      <c r="Q53" s="3" t="n">
        <v>9990</v>
      </c>
      <c r="R53" s="3" t="n">
        <v>119880</v>
      </c>
      <c r="S53" s="3" t="n">
        <v>21578.4</v>
      </c>
      <c r="T53" s="5" t="n">
        <v>141458.4</v>
      </c>
      <c r="U53" s="5" t="inlineStr">
        <is>
          <t>GEM/2024/B/5582541</t>
        </is>
      </c>
      <c r="V53" s="5" t="inlineStr"/>
      <c r="W53" s="3" t="inlineStr"/>
      <c r="X53" s="3" t="inlineStr">
        <is>
          <t>N/A</t>
        </is>
      </c>
      <c r="Y53" s="3" t="inlineStr">
        <is>
          <t>N/A</t>
        </is>
      </c>
      <c r="Z53" s="3" t="inlineStr"/>
    </row>
    <row r="54">
      <c r="A54" s="3" t="n">
        <v>27</v>
      </c>
      <c r="B54" s="3" t="inlineStr">
        <is>
          <t>NGS 240436</t>
        </is>
      </c>
      <c r="C54" s="4" t="n">
        <v>45776</v>
      </c>
      <c r="D54" s="3" t="inlineStr">
        <is>
          <t>April- 2025</t>
        </is>
      </c>
      <c r="E54" s="3" t="inlineStr">
        <is>
          <t>Sudharson Narayanan</t>
        </is>
      </c>
      <c r="F54" s="3" t="inlineStr">
        <is>
          <t>Symbiont Life Sciences</t>
        </is>
      </c>
      <c r="G54" s="3" t="inlineStr">
        <is>
          <t>Symbiont Life Sciences</t>
        </is>
      </c>
      <c r="H54" s="3" t="inlineStr">
        <is>
          <t>symbiontcs@gmail.com</t>
        </is>
      </c>
      <c r="I54" s="3" t="inlineStr"/>
      <c r="J54" s="3" t="inlineStr">
        <is>
          <t>Whole Genome Sequencing &amp; Analysis On Illumina Platforms</t>
        </is>
      </c>
      <c r="K54" s="3" t="inlineStr">
        <is>
          <t>N/A</t>
        </is>
      </c>
      <c r="L54" s="3" t="inlineStr">
        <is>
          <t xml:space="preserve">With Analysis </t>
        </is>
      </c>
      <c r="M54" s="3" t="n">
        <v>1</v>
      </c>
      <c r="N54" s="3" t="inlineStr">
        <is>
          <t>45 GB/Sample</t>
        </is>
      </c>
      <c r="O54" s="3" t="inlineStr">
        <is>
          <t>45</t>
        </is>
      </c>
      <c r="P54" s="3" t="n">
        <v>45</v>
      </c>
      <c r="Q54" s="3" t="n">
        <v>39000</v>
      </c>
      <c r="R54" s="3" t="n">
        <v>39000</v>
      </c>
      <c r="S54" s="3" t="n">
        <v>7020</v>
      </c>
      <c r="T54" s="5" t="n">
        <v>46020</v>
      </c>
      <c r="U54" s="5" t="inlineStr">
        <is>
          <t>UG/NGS/TP/2406821</t>
        </is>
      </c>
      <c r="V54" s="5" t="inlineStr">
        <is>
          <t>UPL/GEN/116/2526</t>
        </is>
      </c>
      <c r="W54" s="3" t="inlineStr"/>
      <c r="X54" s="3" t="inlineStr">
        <is>
          <t>N/A</t>
        </is>
      </c>
      <c r="Y54" s="3" t="inlineStr">
        <is>
          <t>N/A</t>
        </is>
      </c>
      <c r="Z54" s="3" t="inlineStr"/>
    </row>
    <row r="55">
      <c r="A55" s="3" t="n">
        <v>28</v>
      </c>
      <c r="B55" s="3" t="inlineStr">
        <is>
          <t>NGS 240437</t>
        </is>
      </c>
      <c r="C55" s="4" t="n">
        <v>45776</v>
      </c>
      <c r="D55" s="3" t="inlineStr">
        <is>
          <t>April- 2025</t>
        </is>
      </c>
      <c r="E55" s="3" t="inlineStr">
        <is>
          <t>Sudharson Narayanan</t>
        </is>
      </c>
      <c r="F55" s="3" t="inlineStr">
        <is>
          <t>Symbiont Life Sciences</t>
        </is>
      </c>
      <c r="G55" s="3" t="inlineStr">
        <is>
          <t>Symbiont Life Sciences</t>
        </is>
      </c>
      <c r="H55" s="3" t="inlineStr">
        <is>
          <t>symbiontcs@gmail.com</t>
        </is>
      </c>
      <c r="I55" s="3" t="inlineStr"/>
      <c r="J55" s="3" t="inlineStr">
        <is>
          <t>Mitochondrial Genome Sequencing &amp; Analysis On Illumina Platforms</t>
        </is>
      </c>
      <c r="K55" s="3" t="inlineStr">
        <is>
          <t>N/A</t>
        </is>
      </c>
      <c r="L55" s="3" t="inlineStr">
        <is>
          <t xml:space="preserve">With Analysis </t>
        </is>
      </c>
      <c r="M55" s="3" t="n">
        <v>4</v>
      </c>
      <c r="N55" s="3" t="inlineStr">
        <is>
          <t>3 GB/sample</t>
        </is>
      </c>
      <c r="O55" s="3" t="inlineStr">
        <is>
          <t>3</t>
        </is>
      </c>
      <c r="P55" s="3" t="n">
        <v>12</v>
      </c>
      <c r="Q55" s="3" t="n">
        <v>15000</v>
      </c>
      <c r="R55" s="3" t="n">
        <v>60000</v>
      </c>
      <c r="S55" s="3" t="n">
        <v>10800</v>
      </c>
      <c r="T55" s="5" t="n">
        <v>70800</v>
      </c>
      <c r="U55" s="5" t="inlineStr">
        <is>
          <t>UG/NGS/TP/2309855</t>
        </is>
      </c>
      <c r="V55" s="5" t="inlineStr"/>
      <c r="W55" s="3" t="inlineStr"/>
      <c r="X55" s="3" t="inlineStr">
        <is>
          <t>N/A</t>
        </is>
      </c>
      <c r="Y55" s="3" t="inlineStr">
        <is>
          <t>N/A</t>
        </is>
      </c>
      <c r="Z55" s="3" t="inlineStr"/>
    </row>
    <row r="56">
      <c r="A56" s="3" t="n">
        <v>28</v>
      </c>
      <c r="B56" s="3" t="inlineStr">
        <is>
          <t>NGS 240438</t>
        </is>
      </c>
      <c r="C56" s="4" t="n">
        <v>45776</v>
      </c>
      <c r="D56" s="3" t="inlineStr">
        <is>
          <t>April- 2025</t>
        </is>
      </c>
      <c r="E56" s="3" t="inlineStr">
        <is>
          <t>Sudharson Narayanan</t>
        </is>
      </c>
      <c r="F56" s="3" t="inlineStr">
        <is>
          <t>Symbiont Life Sciences</t>
        </is>
      </c>
      <c r="G56" s="3" t="inlineStr">
        <is>
          <t>Symbiont Life Sciences</t>
        </is>
      </c>
      <c r="H56" s="3" t="inlineStr">
        <is>
          <t>symbiontcs@gmail.com</t>
        </is>
      </c>
      <c r="I56" s="3" t="inlineStr"/>
      <c r="J56" s="3" t="inlineStr">
        <is>
          <t>Bacterial Whole Genome Sequencing &amp; Analysis On Illumina</t>
        </is>
      </c>
      <c r="K56" s="3" t="inlineStr">
        <is>
          <t>Igs</t>
        </is>
      </c>
      <c r="L56" s="3" t="inlineStr">
        <is>
          <t xml:space="preserve">With Analysis </t>
        </is>
      </c>
      <c r="M56" s="3" t="n">
        <v>1</v>
      </c>
      <c r="N56" s="3" t="inlineStr">
        <is>
          <t>3 GB/Sample</t>
        </is>
      </c>
      <c r="O56" s="3" t="inlineStr">
        <is>
          <t>3</t>
        </is>
      </c>
      <c r="P56" s="3" t="n">
        <v>3</v>
      </c>
      <c r="Q56" s="3" t="n">
        <v>10000</v>
      </c>
      <c r="R56" s="3" t="n">
        <v>10000</v>
      </c>
      <c r="S56" s="3" t="n">
        <v>1800</v>
      </c>
      <c r="T56" s="5" t="n">
        <v>11800</v>
      </c>
      <c r="U56" s="5" t="inlineStr">
        <is>
          <t>UG/NGS/TP/2501392</t>
        </is>
      </c>
      <c r="V56" s="5" t="inlineStr">
        <is>
          <t>UPL/GEN/119/2526</t>
        </is>
      </c>
      <c r="W56" s="3" t="inlineStr"/>
      <c r="X56" s="3" t="inlineStr">
        <is>
          <t>N/A</t>
        </is>
      </c>
      <c r="Y56" s="3" t="inlineStr">
        <is>
          <t>N/A</t>
        </is>
      </c>
      <c r="Z56" s="3" t="inlineStr"/>
    </row>
    <row r="57">
      <c r="A57" s="3" t="n">
        <v>29</v>
      </c>
      <c r="B57" s="3" t="inlineStr">
        <is>
          <t>NGS 240440</t>
        </is>
      </c>
      <c r="C57" s="4" t="n">
        <v>45776</v>
      </c>
      <c r="D57" s="3" t="inlineStr">
        <is>
          <t>April- 2025</t>
        </is>
      </c>
      <c r="E57" s="3" t="inlineStr">
        <is>
          <t>Dr. Pritha Bhattacharjee</t>
        </is>
      </c>
      <c r="F57" s="3" t="inlineStr">
        <is>
          <t>Sctimst</t>
        </is>
      </c>
      <c r="G57" s="3" t="inlineStr">
        <is>
          <t>Sctimst</t>
        </is>
      </c>
      <c r="H57" s="3" t="inlineStr">
        <is>
          <t>777.pritha@gmail.com</t>
        </is>
      </c>
      <c r="I57" s="3" t="inlineStr"/>
      <c r="J57" s="3" t="inlineStr">
        <is>
          <t>Whole Transcriptome Sequencing &amp; Analysis On Illumina Novaseq X Plus Platform</t>
        </is>
      </c>
      <c r="K57" s="3" t="inlineStr">
        <is>
          <t>Wgtg</t>
        </is>
      </c>
      <c r="L57" s="3" t="inlineStr">
        <is>
          <t xml:space="preserve">With Analysis </t>
        </is>
      </c>
      <c r="M57" s="3" t="n">
        <v>8</v>
      </c>
      <c r="N57" s="3" t="inlineStr">
        <is>
          <t>5GB / sample</t>
        </is>
      </c>
      <c r="O57" s="3" t="inlineStr">
        <is>
          <t>5</t>
        </is>
      </c>
      <c r="P57" s="3" t="n">
        <v>40</v>
      </c>
      <c r="Q57" s="3" t="n">
        <v>10000</v>
      </c>
      <c r="R57" s="3" t="n">
        <v>80000</v>
      </c>
      <c r="S57" s="3" t="n">
        <v>14400</v>
      </c>
      <c r="T57" s="5" t="n">
        <v>94400</v>
      </c>
      <c r="U57" s="5" t="inlineStr">
        <is>
          <t>GEM/2024/B/5583405</t>
        </is>
      </c>
      <c r="V57" s="5" t="inlineStr"/>
      <c r="W57" s="3" t="inlineStr"/>
      <c r="X57" s="3" t="inlineStr">
        <is>
          <t>N/A</t>
        </is>
      </c>
      <c r="Y57" s="3" t="inlineStr">
        <is>
          <t>N/A</t>
        </is>
      </c>
      <c r="Z57" s="3" t="inlineStr"/>
    </row>
    <row r="58">
      <c r="A58" s="3" t="n">
        <v>29</v>
      </c>
      <c r="B58" s="3" t="inlineStr">
        <is>
          <t>NGS 240441</t>
        </is>
      </c>
      <c r="C58" s="4" t="n">
        <v>45777</v>
      </c>
      <c r="D58" s="3" t="inlineStr">
        <is>
          <t>April- 2025</t>
        </is>
      </c>
      <c r="E58" s="3" t="inlineStr">
        <is>
          <t>Dr.Nishat</t>
        </is>
      </c>
      <c r="F58" s="3" t="inlineStr">
        <is>
          <t>Biologia Research</t>
        </is>
      </c>
      <c r="G58" s="3" t="inlineStr">
        <is>
          <t>Biologia Research</t>
        </is>
      </c>
      <c r="H58" s="3" t="inlineStr">
        <is>
          <t>nishat@biologia.co.in</t>
        </is>
      </c>
      <c r="I58" s="3" t="inlineStr"/>
      <c r="J58" s="3" t="inlineStr">
        <is>
          <t>Whole Genome Sequencing On Illumina</t>
        </is>
      </c>
      <c r="K58" s="3" t="inlineStr">
        <is>
          <t>N/A</t>
        </is>
      </c>
      <c r="L58" s="3" t="inlineStr">
        <is>
          <t xml:space="preserve">Without Analysis  </t>
        </is>
      </c>
      <c r="M58" s="3" t="n">
        <v>1</v>
      </c>
      <c r="N58" s="3" t="inlineStr">
        <is>
          <t>5 GB/sample</t>
        </is>
      </c>
      <c r="O58" s="3" t="inlineStr">
        <is>
          <t>5</t>
        </is>
      </c>
      <c r="P58" s="3" t="n">
        <v>5</v>
      </c>
      <c r="Q58" s="3" t="n">
        <v>10000</v>
      </c>
      <c r="R58" s="3" t="n">
        <v>10000</v>
      </c>
      <c r="S58" s="3" t="n">
        <v>1800</v>
      </c>
      <c r="T58" s="5" t="n">
        <v>11800</v>
      </c>
      <c r="U58" s="5" t="inlineStr">
        <is>
          <t>UG/NGS/TP/2504694</t>
        </is>
      </c>
      <c r="V58" s="5" t="inlineStr">
        <is>
          <t>UPL/GEN/82/2526</t>
        </is>
      </c>
      <c r="W58" s="3" t="inlineStr"/>
      <c r="X58" s="3" t="inlineStr">
        <is>
          <t>N/A</t>
        </is>
      </c>
      <c r="Y58" s="3" t="inlineStr">
        <is>
          <t>N/A</t>
        </is>
      </c>
      <c r="Z58" s="3" t="inlineStr">
        <is>
          <t xml:space="preserve">Yes </t>
        </is>
      </c>
    </row>
    <row r="59">
      <c r="A59" s="3" t="n">
        <v>30</v>
      </c>
      <c r="B59" s="3" t="inlineStr">
        <is>
          <t>NGS 240442</t>
        </is>
      </c>
      <c r="C59" s="4" t="n">
        <v>45777</v>
      </c>
      <c r="D59" s="3" t="inlineStr">
        <is>
          <t>April- 2025</t>
        </is>
      </c>
      <c r="E59" s="3" t="inlineStr">
        <is>
          <t>Dr.Nishat</t>
        </is>
      </c>
      <c r="F59" s="3" t="inlineStr">
        <is>
          <t>Biologia Research</t>
        </is>
      </c>
      <c r="G59" s="3" t="inlineStr">
        <is>
          <t>Biologia Research</t>
        </is>
      </c>
      <c r="H59" s="3" t="inlineStr">
        <is>
          <t>nishat@biologia.co.in</t>
        </is>
      </c>
      <c r="I59" s="3" t="inlineStr"/>
      <c r="J59" s="3" t="inlineStr">
        <is>
          <t>Metatranscriptome Sequencing On Illumina</t>
        </is>
      </c>
      <c r="K59" s="3" t="inlineStr">
        <is>
          <t>N/A</t>
        </is>
      </c>
      <c r="L59" s="3" t="inlineStr">
        <is>
          <t xml:space="preserve">Without Analysis  </t>
        </is>
      </c>
      <c r="M59" s="3" t="n">
        <v>6</v>
      </c>
      <c r="N59" s="3" t="inlineStr">
        <is>
          <t>5-6 GB/sample</t>
        </is>
      </c>
      <c r="O59" s="3" t="inlineStr">
        <is>
          <t>6</t>
        </is>
      </c>
      <c r="P59" s="3" t="n">
        <v>36</v>
      </c>
      <c r="Q59" s="3" t="n">
        <v>10000</v>
      </c>
      <c r="R59" s="3" t="n">
        <v>60000</v>
      </c>
      <c r="S59" s="3" t="n">
        <v>10800</v>
      </c>
      <c r="T59" s="5" t="n">
        <v>70800</v>
      </c>
      <c r="U59" s="5" t="inlineStr">
        <is>
          <t>UG/NGS/TP/2504693</t>
        </is>
      </c>
      <c r="V59" s="5" t="inlineStr"/>
      <c r="W59" s="3" t="inlineStr"/>
      <c r="X59" s="3" t="inlineStr">
        <is>
          <t>N/A</t>
        </is>
      </c>
      <c r="Y59" s="3" t="inlineStr">
        <is>
          <t>N/A</t>
        </is>
      </c>
      <c r="Z59" s="3" t="inlineStr">
        <is>
          <t xml:space="preserve">Yes </t>
        </is>
      </c>
    </row>
    <row r="60">
      <c r="A60" s="3" t="n">
        <v>30</v>
      </c>
      <c r="B60" s="3" t="inlineStr">
        <is>
          <t>NGS 240570</t>
        </is>
      </c>
      <c r="C60" s="4" t="n">
        <v>45777</v>
      </c>
      <c r="D60" s="3" t="inlineStr">
        <is>
          <t>April- 2025</t>
        </is>
      </c>
      <c r="E60" s="3" t="inlineStr">
        <is>
          <t>Dr.Prabhakar</t>
        </is>
      </c>
      <c r="F60" s="3" t="inlineStr">
        <is>
          <t>Biologia Research</t>
        </is>
      </c>
      <c r="G60" s="3" t="inlineStr">
        <is>
          <t>Biologia Research</t>
        </is>
      </c>
      <c r="H60" s="3" t="inlineStr"/>
      <c r="I60" s="3" t="inlineStr"/>
      <c r="J60" s="3" t="inlineStr">
        <is>
          <t>Medip Sequencing &amp; Analysis On Illumina Platform</t>
        </is>
      </c>
      <c r="K60" s="3" t="inlineStr">
        <is>
          <t>N/A</t>
        </is>
      </c>
      <c r="L60" s="3" t="inlineStr">
        <is>
          <t xml:space="preserve">With Analysis </t>
        </is>
      </c>
      <c r="M60" s="3" t="n">
        <v>14</v>
      </c>
      <c r="N60" s="3" t="inlineStr"/>
      <c r="O60" s="3" t="inlineStr"/>
      <c r="P60" s="3" t="n">
        <v>0</v>
      </c>
      <c r="Q60" s="3" t="inlineStr"/>
      <c r="R60" s="3" t="n">
        <v>0</v>
      </c>
      <c r="S60" s="3" t="n">
        <v>0</v>
      </c>
      <c r="T60" s="5" t="n">
        <v>0</v>
      </c>
      <c r="U60" s="5" t="inlineStr"/>
      <c r="V60" s="5" t="inlineStr"/>
      <c r="W60" s="3" t="inlineStr"/>
      <c r="X60" s="3" t="inlineStr">
        <is>
          <t>N/A</t>
        </is>
      </c>
      <c r="Y60" s="3" t="inlineStr">
        <is>
          <t>N/A</t>
        </is>
      </c>
      <c r="Z60" s="3" t="inlineStr"/>
    </row>
    <row r="61">
      <c r="A61" s="3" t="n">
        <v>31</v>
      </c>
      <c r="B61" s="3" t="inlineStr">
        <is>
          <t>NGS 240424</t>
        </is>
      </c>
      <c r="C61" s="4" t="n">
        <v>45779</v>
      </c>
      <c r="D61" s="3" t="inlineStr">
        <is>
          <t>May- 2025</t>
        </is>
      </c>
      <c r="E61" s="3" t="inlineStr">
        <is>
          <t>Dr.Vidhya Sagar</t>
        </is>
      </c>
      <c r="F61" s="3" t="inlineStr">
        <is>
          <t>Iivr</t>
        </is>
      </c>
      <c r="G61" s="3" t="inlineStr">
        <is>
          <t>Jp Scientific</t>
        </is>
      </c>
      <c r="H61" s="3" t="inlineStr"/>
      <c r="I61" s="3" t="inlineStr"/>
      <c r="J61" s="3" t="inlineStr">
        <is>
          <t>Genotyping By Sequencing &amp; Analysis On Illumina Novaseq X Plus Platform</t>
        </is>
      </c>
      <c r="K61" s="3" t="inlineStr">
        <is>
          <t>N/A</t>
        </is>
      </c>
      <c r="L61" s="3" t="inlineStr">
        <is>
          <t xml:space="preserve">With Analysis </t>
        </is>
      </c>
      <c r="M61" s="3" t="n">
        <v>128</v>
      </c>
      <c r="N61" s="3" t="inlineStr">
        <is>
          <t>4 GB/sample</t>
        </is>
      </c>
      <c r="O61" s="3" t="inlineStr">
        <is>
          <t>4</t>
        </is>
      </c>
      <c r="P61" s="3" t="n">
        <v>512</v>
      </c>
      <c r="Q61" s="3" t="n">
        <v>3180</v>
      </c>
      <c r="R61" s="3" t="n">
        <v>407040</v>
      </c>
      <c r="S61" s="3" t="n">
        <v>73267.2</v>
      </c>
      <c r="T61" s="5" t="n">
        <v>480307.2</v>
      </c>
      <c r="U61" s="5" t="inlineStr">
        <is>
          <t>UG/NGS/TP/2504665</t>
        </is>
      </c>
      <c r="V61" s="5" t="inlineStr"/>
      <c r="W61" s="3" t="inlineStr">
        <is>
          <t xml:space="preserve">Harsh </t>
        </is>
      </c>
      <c r="X61" s="3" t="inlineStr">
        <is>
          <t>Up</t>
        </is>
      </c>
      <c r="Y61" s="3" t="inlineStr">
        <is>
          <t>Varanasi</t>
        </is>
      </c>
      <c r="Z61" s="3" t="inlineStr"/>
    </row>
    <row r="62">
      <c r="A62" s="3" t="n">
        <v>31</v>
      </c>
      <c r="B62" s="3" t="inlineStr">
        <is>
          <t>NGS 240443</t>
        </is>
      </c>
      <c r="C62" s="4" t="n">
        <v>45779</v>
      </c>
      <c r="D62" s="3" t="inlineStr">
        <is>
          <t>May- 2025</t>
        </is>
      </c>
      <c r="E62" s="3" t="inlineStr">
        <is>
          <t>Sudharson Narayanan</t>
        </is>
      </c>
      <c r="F62" s="3" t="inlineStr">
        <is>
          <t>Symbiont Life Sciences</t>
        </is>
      </c>
      <c r="G62" s="3" t="inlineStr">
        <is>
          <t>Symbiont Life Sciences</t>
        </is>
      </c>
      <c r="H62" s="3" t="inlineStr">
        <is>
          <t>symbiontcs@gmail.com</t>
        </is>
      </c>
      <c r="I62" s="3" t="inlineStr"/>
      <c r="J62" s="3" t="inlineStr">
        <is>
          <t>Mitochondrial Genome Sequencing &amp; Analysis On Illumina Platforms</t>
        </is>
      </c>
      <c r="K62" s="3" t="inlineStr">
        <is>
          <t>N/A</t>
        </is>
      </c>
      <c r="L62" s="3" t="inlineStr">
        <is>
          <t xml:space="preserve">With Analysis </t>
        </is>
      </c>
      <c r="M62" s="3" t="n">
        <v>1</v>
      </c>
      <c r="N62" s="3" t="inlineStr">
        <is>
          <t>3 GB/sample</t>
        </is>
      </c>
      <c r="O62" s="3" t="inlineStr">
        <is>
          <t>3</t>
        </is>
      </c>
      <c r="P62" s="3" t="n">
        <v>3</v>
      </c>
      <c r="Q62" s="3" t="n">
        <v>15000</v>
      </c>
      <c r="R62" s="3" t="n">
        <v>15000</v>
      </c>
      <c r="S62" s="3" t="n">
        <v>2700</v>
      </c>
      <c r="T62" s="5" t="n">
        <v>17700</v>
      </c>
      <c r="U62" s="5" t="inlineStr">
        <is>
          <t>UG/NGS/TP/2309855</t>
        </is>
      </c>
      <c r="V62" s="5" t="inlineStr">
        <is>
          <t>UPL/GEN/132/2526</t>
        </is>
      </c>
      <c r="W62" s="3" t="inlineStr">
        <is>
          <t>Direct</t>
        </is>
      </c>
      <c r="X62" s="3" t="inlineStr">
        <is>
          <t>South</t>
        </is>
      </c>
      <c r="Y62" s="3" t="inlineStr">
        <is>
          <t>Direct</t>
        </is>
      </c>
      <c r="Z62" s="3" t="inlineStr"/>
    </row>
    <row r="63">
      <c r="A63" s="3" t="n">
        <v>32</v>
      </c>
      <c r="B63" s="3" t="inlineStr">
        <is>
          <t>NGS 240445</t>
        </is>
      </c>
      <c r="C63" s="4" t="n">
        <v>45782</v>
      </c>
      <c r="D63" s="3" t="inlineStr">
        <is>
          <t>May- 2025</t>
        </is>
      </c>
      <c r="E63" s="3" t="inlineStr">
        <is>
          <t>N/A</t>
        </is>
      </c>
      <c r="F63" s="3" t="inlineStr">
        <is>
          <t>Nature Scientific</t>
        </is>
      </c>
      <c r="G63" s="3" t="inlineStr">
        <is>
          <t>Nature Scientific</t>
        </is>
      </c>
      <c r="H63" s="3" t="inlineStr">
        <is>
          <t>nscientific18@gmail.com</t>
        </is>
      </c>
      <c r="I63" s="3" t="inlineStr"/>
      <c r="J63" s="3" t="inlineStr">
        <is>
          <t>RNA Sequencing On Illumina Novaseq X Plus Platform</t>
        </is>
      </c>
      <c r="K63" s="3" t="inlineStr">
        <is>
          <t>N/A</t>
        </is>
      </c>
      <c r="L63" s="3" t="inlineStr">
        <is>
          <t xml:space="preserve">Without Analysis  </t>
        </is>
      </c>
      <c r="M63" s="3" t="n">
        <v>13</v>
      </c>
      <c r="N63" s="3" t="inlineStr">
        <is>
          <t>6 GB/sample</t>
        </is>
      </c>
      <c r="O63" s="3" t="inlineStr">
        <is>
          <t>6</t>
        </is>
      </c>
      <c r="P63" s="3" t="n">
        <v>78</v>
      </c>
      <c r="Q63" s="3" t="n">
        <v>9000</v>
      </c>
      <c r="R63" s="3" t="n">
        <v>117000</v>
      </c>
      <c r="S63" s="3" t="n">
        <v>21060</v>
      </c>
      <c r="T63" s="5" t="n">
        <v>138060</v>
      </c>
      <c r="U63" s="5" t="inlineStr">
        <is>
          <t>UG/NGS/TP/2504696R1</t>
        </is>
      </c>
      <c r="V63" s="5" t="inlineStr">
        <is>
          <t>UPL/GEN/93/2526</t>
        </is>
      </c>
      <c r="W63" s="3" t="inlineStr">
        <is>
          <t>Ravi singh</t>
        </is>
      </c>
      <c r="X63" s="3" t="inlineStr">
        <is>
          <t>Up</t>
        </is>
      </c>
      <c r="Y63" s="3" t="inlineStr">
        <is>
          <t>Lucknow</t>
        </is>
      </c>
      <c r="Z63" s="3" t="inlineStr">
        <is>
          <t xml:space="preserve">Yes </t>
        </is>
      </c>
    </row>
    <row r="64">
      <c r="A64" s="3" t="n">
        <v>32</v>
      </c>
      <c r="B64" s="3" t="inlineStr">
        <is>
          <t>NGS 240446</t>
        </is>
      </c>
      <c r="C64" s="4" t="n">
        <v>45783</v>
      </c>
      <c r="D64" s="3" t="inlineStr">
        <is>
          <t>May- 2025</t>
        </is>
      </c>
      <c r="E64" s="3" t="inlineStr">
        <is>
          <t>Dr. Nikhil Patkar</t>
        </is>
      </c>
      <c r="F64" s="3" t="inlineStr">
        <is>
          <t>Tmc-Actrec</t>
        </is>
      </c>
      <c r="G64" s="3" t="inlineStr">
        <is>
          <t>Tmc-Actrec</t>
        </is>
      </c>
      <c r="H64" s="3" t="inlineStr">
        <is>
          <t>nvpatkar@gmail.com</t>
        </is>
      </c>
      <c r="I64" s="3" t="inlineStr"/>
      <c r="J64" s="3" t="inlineStr">
        <is>
          <t>10B Flow Cell Ready To Run Library Services</t>
        </is>
      </c>
      <c r="K64" s="3" t="inlineStr">
        <is>
          <t>N/A</t>
        </is>
      </c>
      <c r="L64" s="3" t="inlineStr">
        <is>
          <t xml:space="preserve">With Analysis </t>
        </is>
      </c>
      <c r="M64" s="3" t="n">
        <v>4</v>
      </c>
      <c r="N64" s="3" t="inlineStr">
        <is>
          <t>350-375/Lane</t>
        </is>
      </c>
      <c r="O64" s="3" t="inlineStr">
        <is>
          <t>375</t>
        </is>
      </c>
      <c r="P64" s="3" t="n">
        <v>1500</v>
      </c>
      <c r="Q64" s="3" t="inlineStr"/>
      <c r="R64" s="3" t="n">
        <v>593062.5</v>
      </c>
      <c r="S64" s="3" t="n">
        <v>106751.25</v>
      </c>
      <c r="T64" s="5" t="n">
        <v>699813.75</v>
      </c>
      <c r="U64" s="5" t="inlineStr"/>
      <c r="V64" s="5" t="inlineStr">
        <is>
          <t>UPL/GEN/65/2526</t>
        </is>
      </c>
      <c r="W64" s="3" t="inlineStr">
        <is>
          <t>Direct</t>
        </is>
      </c>
      <c r="X64" s="3" t="inlineStr">
        <is>
          <t>West</t>
        </is>
      </c>
      <c r="Y64" s="3" t="inlineStr">
        <is>
          <t>Maharashtra</t>
        </is>
      </c>
      <c r="Z64" s="3" t="inlineStr"/>
    </row>
    <row r="65">
      <c r="A65" s="3" t="n">
        <v>33</v>
      </c>
      <c r="B65" s="3" t="inlineStr">
        <is>
          <t>NGS 240448</t>
        </is>
      </c>
      <c r="C65" s="4" t="n">
        <v>45783</v>
      </c>
      <c r="D65" s="3" t="inlineStr">
        <is>
          <t>May- 2025</t>
        </is>
      </c>
      <c r="E65" s="3" t="inlineStr">
        <is>
          <t>Dr. Kashyap Thummar</t>
        </is>
      </c>
      <c r="F65" s="3" t="inlineStr">
        <is>
          <t>Gtu</t>
        </is>
      </c>
      <c r="G65" s="3" t="inlineStr">
        <is>
          <t>Gtu</t>
        </is>
      </c>
      <c r="H65" s="3" t="inlineStr">
        <is>
          <t>jrf_sneha@gtu.edu.in</t>
        </is>
      </c>
      <c r="I65" s="3" t="inlineStr"/>
      <c r="J65" s="3" t="inlineStr">
        <is>
          <t>Transcriptome Sequencing &amp; Analysis On Illumina Novaseq X Plus Platforms</t>
        </is>
      </c>
      <c r="K65" s="3" t="inlineStr">
        <is>
          <t>N/A</t>
        </is>
      </c>
      <c r="L65" s="3" t="inlineStr">
        <is>
          <t xml:space="preserve">With Analysis </t>
        </is>
      </c>
      <c r="M65" s="3" t="n">
        <v>2</v>
      </c>
      <c r="N65" s="3" t="inlineStr">
        <is>
          <t>16-18 GB/ sample</t>
        </is>
      </c>
      <c r="O65" s="3" t="inlineStr">
        <is>
          <t>18</t>
        </is>
      </c>
      <c r="P65" s="3" t="n">
        <v>36</v>
      </c>
      <c r="Q65" s="3" t="n">
        <v>17000</v>
      </c>
      <c r="R65" s="3" t="n">
        <v>34000</v>
      </c>
      <c r="S65" s="3" t="n">
        <v>6120</v>
      </c>
      <c r="T65" s="5" t="n">
        <v>40120</v>
      </c>
      <c r="U65" s="5" t="inlineStr">
        <is>
          <t>UG/NGS/TP/2411222</t>
        </is>
      </c>
      <c r="V65" s="5" t="inlineStr">
        <is>
          <t>UPL/GEN/128/2526</t>
        </is>
      </c>
      <c r="W65" s="3" t="inlineStr">
        <is>
          <t>Direct</t>
        </is>
      </c>
      <c r="X65" s="3" t="inlineStr">
        <is>
          <t>West</t>
        </is>
      </c>
      <c r="Y65" s="3" t="inlineStr">
        <is>
          <t>Gandhinagar</t>
        </is>
      </c>
      <c r="Z65" s="3" t="inlineStr"/>
    </row>
    <row r="66">
      <c r="A66" s="3" t="n">
        <v>33</v>
      </c>
      <c r="B66" s="3" t="inlineStr">
        <is>
          <t>NGS 240449</t>
        </is>
      </c>
      <c r="C66" s="4" t="n">
        <v>45783</v>
      </c>
      <c r="D66" s="3" t="inlineStr">
        <is>
          <t>May- 2025</t>
        </is>
      </c>
      <c r="E66" s="3" t="inlineStr">
        <is>
          <t>Dr. Samson Mani</t>
        </is>
      </c>
      <c r="F66" s="3" t="inlineStr">
        <is>
          <t>Rgcirc, Delhi</t>
        </is>
      </c>
      <c r="G66" s="3" t="inlineStr">
        <is>
          <t>Rgcirc, Delhi</t>
        </is>
      </c>
      <c r="H66" s="3" t="inlineStr">
        <is>
          <t>samsonn.m@gmail.com</t>
        </is>
      </c>
      <c r="I66" s="3" t="inlineStr"/>
      <c r="J66" s="3" t="inlineStr">
        <is>
          <t>Whole Transcriptome Sequencing &amp; Analysis On Illumina Platforms</t>
        </is>
      </c>
      <c r="K66" s="3" t="inlineStr">
        <is>
          <t>N/A</t>
        </is>
      </c>
      <c r="L66" s="3" t="inlineStr">
        <is>
          <t xml:space="preserve">With Analysis </t>
        </is>
      </c>
      <c r="M66" s="3" t="n">
        <v>8</v>
      </c>
      <c r="N66" s="3" t="inlineStr">
        <is>
          <t>30 GB/Sample</t>
        </is>
      </c>
      <c r="O66" s="3" t="inlineStr">
        <is>
          <t>30</t>
        </is>
      </c>
      <c r="P66" s="3" t="n">
        <v>240</v>
      </c>
      <c r="Q66" s="3" t="n">
        <v>23000</v>
      </c>
      <c r="R66" s="3" t="n">
        <v>184000</v>
      </c>
      <c r="S66" s="3" t="n">
        <v>33120</v>
      </c>
      <c r="T66" s="5" t="n">
        <v>217120</v>
      </c>
      <c r="U66" s="5" t="inlineStr"/>
      <c r="V66" s="5" t="inlineStr">
        <is>
          <t>UPL/GEN/304/2425 UPL/GEN/305/2425</t>
        </is>
      </c>
      <c r="W66" s="3" t="inlineStr">
        <is>
          <t>Direct</t>
        </is>
      </c>
      <c r="X66" s="3" t="inlineStr">
        <is>
          <t>North</t>
        </is>
      </c>
      <c r="Y66" s="3" t="inlineStr">
        <is>
          <t>Delhi</t>
        </is>
      </c>
      <c r="Z66" s="3" t="inlineStr"/>
    </row>
    <row r="67">
      <c r="A67" s="3" t="n">
        <v>34</v>
      </c>
      <c r="B67" s="3" t="inlineStr">
        <is>
          <t>NGS 240450</t>
        </is>
      </c>
      <c r="C67" s="4" t="n">
        <v>45783</v>
      </c>
      <c r="D67" s="3" t="inlineStr">
        <is>
          <t>May- 2025</t>
        </is>
      </c>
      <c r="E67" s="3" t="inlineStr">
        <is>
          <t>Dr. Samson Mani</t>
        </is>
      </c>
      <c r="F67" s="3" t="inlineStr">
        <is>
          <t>Rgcirc, Delhi</t>
        </is>
      </c>
      <c r="G67" s="3" t="inlineStr">
        <is>
          <t>Rgcirc, Delhi</t>
        </is>
      </c>
      <c r="H67" s="3" t="inlineStr">
        <is>
          <t>samsonn.m@gmail.com</t>
        </is>
      </c>
      <c r="I67" s="3" t="inlineStr"/>
      <c r="J67" s="3" t="inlineStr">
        <is>
          <t>Whole Exome Sequencing &amp; Analysis On Illumina Novaseq X Plus Platform</t>
        </is>
      </c>
      <c r="K67" s="3" t="inlineStr">
        <is>
          <t>N/A</t>
        </is>
      </c>
      <c r="L67" s="3" t="inlineStr">
        <is>
          <t xml:space="preserve">With Analysis </t>
        </is>
      </c>
      <c r="M67" s="3" t="n">
        <v>15</v>
      </c>
      <c r="N67" s="3" t="inlineStr">
        <is>
          <t>8-10 GB/Sample</t>
        </is>
      </c>
      <c r="O67" s="3" t="inlineStr">
        <is>
          <t>10</t>
        </is>
      </c>
      <c r="P67" s="3" t="n">
        <v>150</v>
      </c>
      <c r="Q67" s="3" t="n">
        <v>10000</v>
      </c>
      <c r="R67" s="3" t="n">
        <v>150000</v>
      </c>
      <c r="S67" s="3" t="n">
        <v>27000</v>
      </c>
      <c r="T67" s="5" t="n">
        <v>177000</v>
      </c>
      <c r="U67" s="5" t="inlineStr"/>
      <c r="V67" s="5" t="inlineStr">
        <is>
          <t>UPL/GEN/304/2425 UPL/GEN/305/2425</t>
        </is>
      </c>
      <c r="W67" s="3" t="inlineStr">
        <is>
          <t>Direct</t>
        </is>
      </c>
      <c r="X67" s="3" t="inlineStr">
        <is>
          <t>North</t>
        </is>
      </c>
      <c r="Y67" s="3" t="inlineStr">
        <is>
          <t>Delhi</t>
        </is>
      </c>
      <c r="Z67" s="3" t="inlineStr"/>
    </row>
    <row r="68">
      <c r="A68" s="3" t="n">
        <v>34</v>
      </c>
      <c r="B68" s="3" t="inlineStr">
        <is>
          <t>NGS 240451</t>
        </is>
      </c>
      <c r="C68" s="4" t="n">
        <v>45783</v>
      </c>
      <c r="D68" s="3" t="inlineStr">
        <is>
          <t>May- 2025</t>
        </is>
      </c>
      <c r="E68" s="3" t="inlineStr">
        <is>
          <t>Dr. Samson Mani</t>
        </is>
      </c>
      <c r="F68" s="3" t="inlineStr">
        <is>
          <t>Rgcirc, Delhi</t>
        </is>
      </c>
      <c r="G68" s="3" t="inlineStr">
        <is>
          <t>Rgcirc, Delhi</t>
        </is>
      </c>
      <c r="H68" s="3" t="inlineStr">
        <is>
          <t>samsonn.m@gmail.com</t>
        </is>
      </c>
      <c r="I68" s="3" t="inlineStr"/>
      <c r="J68" s="3" t="inlineStr">
        <is>
          <t>Whole Exome Sequencing &amp; Analysis On Illumina Novaseq X Plus Platform</t>
        </is>
      </c>
      <c r="K68" s="3" t="inlineStr">
        <is>
          <t>N/A</t>
        </is>
      </c>
      <c r="L68" s="3" t="inlineStr">
        <is>
          <t xml:space="preserve">With Analysis </t>
        </is>
      </c>
      <c r="M68" s="3" t="n">
        <v>2</v>
      </c>
      <c r="N68" s="3" t="inlineStr">
        <is>
          <t>8-10 GB/Sample</t>
        </is>
      </c>
      <c r="O68" s="3" t="inlineStr">
        <is>
          <t>10</t>
        </is>
      </c>
      <c r="P68" s="3" t="n">
        <v>20</v>
      </c>
      <c r="Q68" s="3" t="n">
        <v>10000</v>
      </c>
      <c r="R68" s="3" t="n">
        <v>20000</v>
      </c>
      <c r="S68" s="3" t="n">
        <v>3600</v>
      </c>
      <c r="T68" s="5" t="n">
        <v>23600</v>
      </c>
      <c r="U68" s="5" t="inlineStr"/>
      <c r="V68" s="5" t="inlineStr">
        <is>
          <t>UPL/GEN/304/2425 UPL/GEN/305/2425</t>
        </is>
      </c>
      <c r="W68" s="3" t="inlineStr">
        <is>
          <t>Direct</t>
        </is>
      </c>
      <c r="X68" s="3" t="inlineStr">
        <is>
          <t>North</t>
        </is>
      </c>
      <c r="Y68" s="3" t="inlineStr">
        <is>
          <t>Delhi</t>
        </is>
      </c>
      <c r="Z68" s="3" t="inlineStr"/>
    </row>
    <row r="69">
      <c r="A69" s="3" t="n">
        <v>35</v>
      </c>
      <c r="B69" s="3" t="inlineStr">
        <is>
          <t>NGS 240452</t>
        </is>
      </c>
      <c r="C69" s="4" t="n">
        <v>45787</v>
      </c>
      <c r="D69" s="3" t="inlineStr">
        <is>
          <t>May- 2025</t>
        </is>
      </c>
      <c r="E69" s="3" t="inlineStr">
        <is>
          <t>Dr. Ashish R. Warghat</t>
        </is>
      </c>
      <c r="F69" s="3" t="inlineStr">
        <is>
          <t>Ihbt</t>
        </is>
      </c>
      <c r="G69" s="3" t="inlineStr">
        <is>
          <t>Ihbt</t>
        </is>
      </c>
      <c r="H69" s="3" t="inlineStr">
        <is>
          <t>ashishwarghat@ihbt.res.in</t>
        </is>
      </c>
      <c r="I69" s="3" t="inlineStr"/>
      <c r="J69" s="3" t="inlineStr">
        <is>
          <t>Transcriptome Sequencing &amp; Analysis On Illumina Platforms</t>
        </is>
      </c>
      <c r="K69" s="3" t="inlineStr">
        <is>
          <t>N/A</t>
        </is>
      </c>
      <c r="L69" s="3" t="inlineStr">
        <is>
          <t xml:space="preserve">With Analysis </t>
        </is>
      </c>
      <c r="M69" s="3" t="n">
        <v>6</v>
      </c>
      <c r="N69" s="3" t="inlineStr">
        <is>
          <t>6 GB/sample</t>
        </is>
      </c>
      <c r="O69" s="3" t="inlineStr">
        <is>
          <t>6</t>
        </is>
      </c>
      <c r="P69" s="3" t="n">
        <v>36</v>
      </c>
      <c r="Q69" s="3" t="n">
        <v>13800</v>
      </c>
      <c r="R69" s="3" t="n">
        <v>82800</v>
      </c>
      <c r="S69" s="3" t="n">
        <v>14904</v>
      </c>
      <c r="T69" s="5" t="n">
        <v>97704</v>
      </c>
      <c r="U69" s="5" t="inlineStr">
        <is>
          <t>UG/NGS/TP/2402465</t>
        </is>
      </c>
      <c r="V69" s="5" t="inlineStr">
        <is>
          <t>UPL/GEN/338/2324</t>
        </is>
      </c>
      <c r="W69" s="3" t="inlineStr">
        <is>
          <t>Direct</t>
        </is>
      </c>
      <c r="X69" s="3" t="inlineStr">
        <is>
          <t>North</t>
        </is>
      </c>
      <c r="Y69" s="3" t="inlineStr">
        <is>
          <t>Palampur</t>
        </is>
      </c>
      <c r="Z69" s="3" t="inlineStr"/>
    </row>
    <row r="70">
      <c r="A70" s="3" t="n">
        <v>35</v>
      </c>
      <c r="B70" s="3" t="inlineStr">
        <is>
          <t>NGS 240453</t>
        </is>
      </c>
      <c r="C70" s="4" t="n">
        <v>45789</v>
      </c>
      <c r="D70" s="3" t="inlineStr">
        <is>
          <t>May- 2025</t>
        </is>
      </c>
      <c r="E70" s="3" t="inlineStr">
        <is>
          <t>Dr.Deepalika</t>
        </is>
      </c>
      <c r="F70" s="3" t="inlineStr">
        <is>
          <t>Gadvasu</t>
        </is>
      </c>
      <c r="G70" s="3" t="inlineStr">
        <is>
          <t>Ace Scientific</t>
        </is>
      </c>
      <c r="H70" s="3" t="inlineStr">
        <is>
          <t>drdeepalikalambhecoh@gmail.com</t>
        </is>
      </c>
      <c r="I70" s="3" t="inlineStr"/>
      <c r="J70" s="3" t="inlineStr">
        <is>
          <t>Whole Genome Metagenomics Sequencing On Illumina Novaseq X Plus Platform</t>
        </is>
      </c>
      <c r="K70" s="3" t="inlineStr">
        <is>
          <t>N/A</t>
        </is>
      </c>
      <c r="L70" s="3" t="inlineStr">
        <is>
          <t xml:space="preserve">Without Analysis  </t>
        </is>
      </c>
      <c r="M70" s="3" t="n">
        <v>9</v>
      </c>
      <c r="N70" s="3" t="inlineStr">
        <is>
          <t>5 GB/ sample</t>
        </is>
      </c>
      <c r="O70" s="3" t="inlineStr">
        <is>
          <t>5</t>
        </is>
      </c>
      <c r="P70" s="3" t="n">
        <v>45</v>
      </c>
      <c r="Q70" s="3" t="n">
        <v>7500</v>
      </c>
      <c r="R70" s="3" t="n">
        <v>67500</v>
      </c>
      <c r="S70" s="3" t="n">
        <v>12150</v>
      </c>
      <c r="T70" s="5" t="n">
        <v>79650</v>
      </c>
      <c r="U70" s="5" t="inlineStr">
        <is>
          <t>UG/NGS/TP/2410175</t>
        </is>
      </c>
      <c r="V70" s="5" t="inlineStr">
        <is>
          <t>UPL/GEN/338/2324</t>
        </is>
      </c>
      <c r="W70" s="3" t="inlineStr">
        <is>
          <t>Ankit</t>
        </is>
      </c>
      <c r="X70" s="3" t="inlineStr">
        <is>
          <t>North</t>
        </is>
      </c>
      <c r="Y70" s="3" t="inlineStr">
        <is>
          <t>Punjab</t>
        </is>
      </c>
      <c r="Z70" s="3" t="inlineStr">
        <is>
          <t xml:space="preserve">Yes </t>
        </is>
      </c>
    </row>
    <row r="71">
      <c r="A71" s="3" t="n">
        <v>36</v>
      </c>
      <c r="B71" s="3" t="inlineStr">
        <is>
          <t>NGS 240454</t>
        </is>
      </c>
      <c r="C71" s="4" t="n">
        <v>45791</v>
      </c>
      <c r="D71" s="3" t="inlineStr">
        <is>
          <t>May- 2025</t>
        </is>
      </c>
      <c r="E71" s="3" t="inlineStr">
        <is>
          <t>Dr. Kashyap Thummar</t>
        </is>
      </c>
      <c r="F71" s="3" t="inlineStr">
        <is>
          <t>Gtu</t>
        </is>
      </c>
      <c r="G71" s="3" t="inlineStr">
        <is>
          <t>Gtu</t>
        </is>
      </c>
      <c r="H71" s="3" t="inlineStr">
        <is>
          <t>jrf_sneha@gtu.edu.in</t>
        </is>
      </c>
      <c r="I71" s="3" t="inlineStr"/>
      <c r="J71" s="3" t="inlineStr">
        <is>
          <t>Transcriptome Sequencing &amp; Analysis On Illumina Novaseq X Plus Platforms</t>
        </is>
      </c>
      <c r="K71" s="3" t="inlineStr">
        <is>
          <t>N/A</t>
        </is>
      </c>
      <c r="L71" s="3" t="inlineStr">
        <is>
          <t xml:space="preserve">With Analysis </t>
        </is>
      </c>
      <c r="M71" s="3" t="n">
        <v>2</v>
      </c>
      <c r="N71" s="3" t="inlineStr">
        <is>
          <t>16-18 GB/ sample</t>
        </is>
      </c>
      <c r="O71" s="3" t="inlineStr">
        <is>
          <t>18</t>
        </is>
      </c>
      <c r="P71" s="3" t="n">
        <v>36</v>
      </c>
      <c r="Q71" s="3" t="n">
        <v>17000</v>
      </c>
      <c r="R71" s="3" t="n">
        <v>34000</v>
      </c>
      <c r="S71" s="3" t="n">
        <v>6120</v>
      </c>
      <c r="T71" s="5" t="n">
        <v>40120</v>
      </c>
      <c r="U71" s="5" t="inlineStr">
        <is>
          <t>UG/NGS/TP/2411222</t>
        </is>
      </c>
      <c r="V71" s="5" t="inlineStr">
        <is>
          <t>UPL/GEN/334/2526</t>
        </is>
      </c>
      <c r="W71" s="3" t="inlineStr">
        <is>
          <t>Direct</t>
        </is>
      </c>
      <c r="X71" s="3" t="inlineStr">
        <is>
          <t>West</t>
        </is>
      </c>
      <c r="Y71" s="3" t="inlineStr">
        <is>
          <t>Gandhinagar</t>
        </is>
      </c>
      <c r="Z71" s="3" t="inlineStr"/>
    </row>
    <row r="72">
      <c r="A72" s="3" t="n">
        <v>36</v>
      </c>
      <c r="B72" s="3" t="inlineStr">
        <is>
          <t>NGS 240455</t>
        </is>
      </c>
      <c r="C72" s="4" t="n">
        <v>45792</v>
      </c>
      <c r="D72" s="3" t="inlineStr">
        <is>
          <t>May- 2025</t>
        </is>
      </c>
      <c r="E72" s="3" t="inlineStr">
        <is>
          <t>Dr. Radhakrishnan</t>
        </is>
      </c>
      <c r="F72" s="3" t="inlineStr">
        <is>
          <t>Sathyabama University</t>
        </is>
      </c>
      <c r="G72" s="3" t="inlineStr">
        <is>
          <t>Discovery Scientifics</t>
        </is>
      </c>
      <c r="H72" s="3" t="inlineStr">
        <is>
          <t>infodiscoveryscientifics@gmail.com</t>
        </is>
      </c>
      <c r="I72" s="3" t="inlineStr"/>
      <c r="J72" s="3" t="inlineStr">
        <is>
          <t>V3-V4 Metagenome Sequencing On Illumina Platform</t>
        </is>
      </c>
      <c r="K72" s="3" t="inlineStr">
        <is>
          <t>N/A</t>
        </is>
      </c>
      <c r="L72" s="3" t="inlineStr">
        <is>
          <t xml:space="preserve">Without Analysis  </t>
        </is>
      </c>
      <c r="M72" s="3" t="n">
        <v>1</v>
      </c>
      <c r="N72" s="3" t="inlineStr">
        <is>
          <t>0.5M reads/ sample</t>
        </is>
      </c>
      <c r="O72" s="3" t="inlineStr"/>
      <c r="P72" s="3" t="n">
        <v>0</v>
      </c>
      <c r="Q72" s="3" t="n">
        <v>6500</v>
      </c>
      <c r="R72" s="3" t="n">
        <v>6500</v>
      </c>
      <c r="S72" s="3" t="n">
        <v>1170</v>
      </c>
      <c r="T72" s="5" t="n">
        <v>7670</v>
      </c>
      <c r="U72" s="5" t="inlineStr">
        <is>
          <t>UG/NGS/TP/2408971R2</t>
        </is>
      </c>
      <c r="V72" s="5" t="inlineStr"/>
      <c r="W72" s="3" t="inlineStr">
        <is>
          <t>Direct</t>
        </is>
      </c>
      <c r="X72" s="3" t="inlineStr">
        <is>
          <t>South</t>
        </is>
      </c>
      <c r="Y72" s="3" t="inlineStr">
        <is>
          <t>N/A</t>
        </is>
      </c>
      <c r="Z72" s="3" t="inlineStr">
        <is>
          <t xml:space="preserve">Yes </t>
        </is>
      </c>
    </row>
    <row r="73">
      <c r="A73" s="3" t="n">
        <v>37</v>
      </c>
      <c r="B73" s="3" t="inlineStr">
        <is>
          <t>NGS 240455</t>
        </is>
      </c>
      <c r="C73" s="4" t="n">
        <v>45792</v>
      </c>
      <c r="D73" s="3" t="inlineStr">
        <is>
          <t>May- 2025</t>
        </is>
      </c>
      <c r="E73" s="3" t="inlineStr">
        <is>
          <t>Dr. Radhakrishnan</t>
        </is>
      </c>
      <c r="F73" s="3" t="inlineStr">
        <is>
          <t>Sathyabama University</t>
        </is>
      </c>
      <c r="G73" s="3" t="inlineStr">
        <is>
          <t>Discovery Scientifics</t>
        </is>
      </c>
      <c r="H73" s="3" t="inlineStr">
        <is>
          <t>infodiscoveryscientifics@gmail.com</t>
        </is>
      </c>
      <c r="I73" s="3" t="inlineStr"/>
      <c r="J73" s="3" t="inlineStr">
        <is>
          <t>V3-V4 Metagenome Sequencing On Illumina Platform</t>
        </is>
      </c>
      <c r="K73" s="3" t="inlineStr">
        <is>
          <t>N/A</t>
        </is>
      </c>
      <c r="L73" s="3" t="inlineStr">
        <is>
          <t xml:space="preserve">Without Analysis  </t>
        </is>
      </c>
      <c r="M73" s="3" t="n">
        <v>1</v>
      </c>
      <c r="N73" s="3" t="inlineStr">
        <is>
          <t>0.5M reads/ sample</t>
        </is>
      </c>
      <c r="O73" s="3" t="inlineStr"/>
      <c r="P73" s="3" t="n">
        <v>0</v>
      </c>
      <c r="Q73" s="3" t="n">
        <v>6500</v>
      </c>
      <c r="R73" s="3" t="n">
        <v>6500</v>
      </c>
      <c r="S73" s="3" t="n">
        <v>1170</v>
      </c>
      <c r="T73" s="5" t="n">
        <v>7670</v>
      </c>
      <c r="U73" s="5" t="inlineStr">
        <is>
          <t>UG/NGS/TP/2408971R2</t>
        </is>
      </c>
      <c r="V73" s="5" t="inlineStr">
        <is>
          <t>QC Fail</t>
        </is>
      </c>
      <c r="W73" s="3" t="inlineStr">
        <is>
          <t>Direct</t>
        </is>
      </c>
      <c r="X73" s="3" t="inlineStr">
        <is>
          <t>South</t>
        </is>
      </c>
      <c r="Y73" s="3" t="inlineStr">
        <is>
          <t>Chennai</t>
        </is>
      </c>
      <c r="Z73" s="3" t="inlineStr"/>
    </row>
    <row r="74">
      <c r="A74" s="3" t="n">
        <v>37</v>
      </c>
      <c r="B74" s="3" t="inlineStr">
        <is>
          <t>NGS 240456(GEM)</t>
        </is>
      </c>
      <c r="C74" s="4" t="n">
        <v>45792</v>
      </c>
      <c r="D74" s="3" t="inlineStr">
        <is>
          <t>May- 2025</t>
        </is>
      </c>
      <c r="E74" s="3" t="inlineStr">
        <is>
          <t>Dr. Pritha Bhattacharjee</t>
        </is>
      </c>
      <c r="F74" s="3" t="inlineStr">
        <is>
          <t>Sctimst</t>
        </is>
      </c>
      <c r="G74" s="3" t="inlineStr">
        <is>
          <t>Sctimst</t>
        </is>
      </c>
      <c r="H74" s="3" t="inlineStr">
        <is>
          <t>777.pritha@gmail.com</t>
        </is>
      </c>
      <c r="I74" s="3" t="inlineStr"/>
      <c r="J74" s="3" t="inlineStr">
        <is>
          <t>Whole Transcriptome Sequencing &amp; Analysis On Illumina Novaseq X Plus Platform</t>
        </is>
      </c>
      <c r="K74" s="3" t="inlineStr">
        <is>
          <t>N/A</t>
        </is>
      </c>
      <c r="L74" s="3" t="inlineStr">
        <is>
          <t xml:space="preserve">With Analysis </t>
        </is>
      </c>
      <c r="M74" s="3" t="n">
        <v>12</v>
      </c>
      <c r="N74" s="3" t="inlineStr">
        <is>
          <t>5GB / sample</t>
        </is>
      </c>
      <c r="O74" s="3" t="inlineStr">
        <is>
          <t>5</t>
        </is>
      </c>
      <c r="P74" s="3" t="n">
        <v>60</v>
      </c>
      <c r="Q74" s="3" t="n">
        <v>8500</v>
      </c>
      <c r="R74" s="3" t="n">
        <v>102000</v>
      </c>
      <c r="S74" s="3" t="n">
        <v>18360</v>
      </c>
      <c r="T74" s="5" t="n">
        <v>120360</v>
      </c>
      <c r="U74" s="5" t="inlineStr">
        <is>
          <t>GEM/2024/B/5583405</t>
        </is>
      </c>
      <c r="V74" s="5" t="inlineStr">
        <is>
          <t>UPL/GEN/242/2526</t>
        </is>
      </c>
      <c r="W74" s="3" t="inlineStr">
        <is>
          <t xml:space="preserve">Theertha </t>
        </is>
      </c>
      <c r="X74" s="3" t="inlineStr">
        <is>
          <t>South</t>
        </is>
      </c>
      <c r="Y74" s="3" t="inlineStr">
        <is>
          <t>Thiruvananthapuram</t>
        </is>
      </c>
      <c r="Z74" s="3" t="inlineStr"/>
    </row>
    <row r="75">
      <c r="A75" s="3" t="n">
        <v>38</v>
      </c>
      <c r="B75" s="3" t="inlineStr">
        <is>
          <t>NGS 240457(GEM)</t>
        </is>
      </c>
      <c r="C75" s="4" t="n">
        <v>45792</v>
      </c>
      <c r="D75" s="3" t="inlineStr">
        <is>
          <t>May- 2025</t>
        </is>
      </c>
      <c r="E75" s="3" t="inlineStr">
        <is>
          <t>Dr. Pritha Bhattacharjee</t>
        </is>
      </c>
      <c r="F75" s="3" t="inlineStr">
        <is>
          <t>Sctimst</t>
        </is>
      </c>
      <c r="G75" s="3" t="inlineStr">
        <is>
          <t>Sctimst</t>
        </is>
      </c>
      <c r="H75" s="3" t="inlineStr">
        <is>
          <t>777.pritha@gmail.com</t>
        </is>
      </c>
      <c r="I75" s="3" t="inlineStr"/>
      <c r="J75" s="3" t="inlineStr">
        <is>
          <t>Whole Exome Sequencing &amp; Analysis On Illumina Novaseq X Plus Platform</t>
        </is>
      </c>
      <c r="K75" s="3" t="inlineStr">
        <is>
          <t>N/A</t>
        </is>
      </c>
      <c r="L75" s="3" t="inlineStr">
        <is>
          <t xml:space="preserve">With Analysis </t>
        </is>
      </c>
      <c r="M75" s="3" t="n">
        <v>12</v>
      </c>
      <c r="N75" s="3" t="inlineStr">
        <is>
          <t>500X coverage</t>
        </is>
      </c>
      <c r="O75" s="3" t="inlineStr"/>
      <c r="P75" s="3" t="n">
        <v>0</v>
      </c>
      <c r="Q75" s="3" t="n">
        <v>9990</v>
      </c>
      <c r="R75" s="3" t="n">
        <v>119880</v>
      </c>
      <c r="S75" s="3" t="n">
        <v>21578.4</v>
      </c>
      <c r="T75" s="5" t="n">
        <v>141458.4</v>
      </c>
      <c r="U75" s="5" t="inlineStr">
        <is>
          <t>GEM/2024/B/5582541</t>
        </is>
      </c>
      <c r="V75" s="5" t="inlineStr">
        <is>
          <t>UPL/GEN/243/2526</t>
        </is>
      </c>
      <c r="W75" s="3" t="inlineStr">
        <is>
          <t xml:space="preserve">Theertha </t>
        </is>
      </c>
      <c r="X75" s="3" t="inlineStr">
        <is>
          <t>South</t>
        </is>
      </c>
      <c r="Y75" s="3" t="inlineStr">
        <is>
          <t>Thiruvananthapuram</t>
        </is>
      </c>
      <c r="Z75" s="3" t="inlineStr"/>
    </row>
    <row r="76">
      <c r="A76" s="3" t="n">
        <v>38</v>
      </c>
      <c r="B76" s="3" t="inlineStr">
        <is>
          <t>NGS 240458</t>
        </is>
      </c>
      <c r="C76" s="4" t="n">
        <v>45792</v>
      </c>
      <c r="D76" s="3" t="inlineStr">
        <is>
          <t>May- 2025</t>
        </is>
      </c>
      <c r="E76" s="3" t="inlineStr">
        <is>
          <t>Sudharson Narayanan</t>
        </is>
      </c>
      <c r="F76" s="3" t="inlineStr">
        <is>
          <t>Symbiont Life Sciences</t>
        </is>
      </c>
      <c r="G76" s="3" t="inlineStr">
        <is>
          <t>Symbiont Life Sciences</t>
        </is>
      </c>
      <c r="H76" s="3" t="inlineStr">
        <is>
          <t>symbiontcs@gmail.com</t>
        </is>
      </c>
      <c r="I76" s="3" t="inlineStr"/>
      <c r="J76" s="3" t="inlineStr">
        <is>
          <t>16S Rrna Metagenome V3-V4 Sequencing &amp; Analysis On Illumina Platforms</t>
        </is>
      </c>
      <c r="K76" s="3" t="inlineStr">
        <is>
          <t>N/A</t>
        </is>
      </c>
      <c r="L76" s="3" t="inlineStr">
        <is>
          <t xml:space="preserve">With Analysis </t>
        </is>
      </c>
      <c r="M76" s="3" t="n">
        <v>5</v>
      </c>
      <c r="N76" s="3" t="inlineStr">
        <is>
          <t>1,00,000 reads/sample</t>
        </is>
      </c>
      <c r="O76" s="3" t="inlineStr"/>
      <c r="P76" s="3" t="n">
        <v>0</v>
      </c>
      <c r="Q76" s="3" t="n">
        <v>6500</v>
      </c>
      <c r="R76" s="3" t="n">
        <v>32500</v>
      </c>
      <c r="S76" s="3" t="n">
        <v>5850</v>
      </c>
      <c r="T76" s="5" t="n">
        <v>38350</v>
      </c>
      <c r="U76" s="5" t="inlineStr">
        <is>
          <t>UG/NGS/TP/2303214R1</t>
        </is>
      </c>
      <c r="V76" s="5" t="inlineStr">
        <is>
          <t>UPL/GEN/226/2526</t>
        </is>
      </c>
      <c r="W76" s="3" t="inlineStr">
        <is>
          <t>Direct</t>
        </is>
      </c>
      <c r="X76" s="3" t="inlineStr">
        <is>
          <t>South</t>
        </is>
      </c>
      <c r="Y76" s="3" t="inlineStr">
        <is>
          <t>Chennai</t>
        </is>
      </c>
      <c r="Z76" s="3" t="inlineStr"/>
    </row>
    <row r="77">
      <c r="A77" s="3" t="n">
        <v>39</v>
      </c>
      <c r="B77" s="3" t="inlineStr">
        <is>
          <t>NGS 240459</t>
        </is>
      </c>
      <c r="C77" s="4" t="n">
        <v>45792</v>
      </c>
      <c r="D77" s="3" t="inlineStr">
        <is>
          <t>May- 2025</t>
        </is>
      </c>
      <c r="E77" s="3" t="inlineStr">
        <is>
          <t>Sudharson Narayanan</t>
        </is>
      </c>
      <c r="F77" s="3" t="inlineStr">
        <is>
          <t>Symbiont Life Sciences</t>
        </is>
      </c>
      <c r="G77" s="3" t="inlineStr">
        <is>
          <t>Symbiont Life Sciences</t>
        </is>
      </c>
      <c r="H77" s="3" t="inlineStr">
        <is>
          <t>symbiontcs@gmail.com</t>
        </is>
      </c>
      <c r="I77" s="3" t="inlineStr"/>
      <c r="J77" s="3" t="inlineStr">
        <is>
          <t>Whole Genome Sequencing &amp; Analysis On Illumina Platforms</t>
        </is>
      </c>
      <c r="K77" s="3" t="inlineStr">
        <is>
          <t>N/A</t>
        </is>
      </c>
      <c r="L77" s="3" t="inlineStr">
        <is>
          <t xml:space="preserve">With Analysis </t>
        </is>
      </c>
      <c r="M77" s="3" t="n">
        <v>2</v>
      </c>
      <c r="N77" s="3" t="inlineStr">
        <is>
          <t>45 GB/Sample</t>
        </is>
      </c>
      <c r="O77" s="3" t="inlineStr">
        <is>
          <t>45</t>
        </is>
      </c>
      <c r="P77" s="3" t="n">
        <v>90</v>
      </c>
      <c r="Q77" s="3" t="n">
        <v>39000</v>
      </c>
      <c r="R77" s="3" t="n">
        <v>78000</v>
      </c>
      <c r="S77" s="3" t="n">
        <v>14040</v>
      </c>
      <c r="T77" s="5" t="n">
        <v>92040</v>
      </c>
      <c r="U77" s="5" t="inlineStr">
        <is>
          <t>UG/NGS/TP/2406821</t>
        </is>
      </c>
      <c r="V77" s="5" t="inlineStr">
        <is>
          <t>UPL/GEN/167/2526</t>
        </is>
      </c>
      <c r="W77" s="3" t="inlineStr">
        <is>
          <t>Direct</t>
        </is>
      </c>
      <c r="X77" s="3" t="inlineStr">
        <is>
          <t>South</t>
        </is>
      </c>
      <c r="Y77" s="3" t="inlineStr">
        <is>
          <t>Chennai</t>
        </is>
      </c>
      <c r="Z77" s="3" t="inlineStr"/>
    </row>
    <row r="78">
      <c r="A78" s="3" t="n">
        <v>39</v>
      </c>
      <c r="B78" s="3" t="inlineStr">
        <is>
          <t>NGS 240459</t>
        </is>
      </c>
      <c r="C78" s="4" t="n">
        <v>45792</v>
      </c>
      <c r="D78" s="3" t="inlineStr">
        <is>
          <t>May- 2025</t>
        </is>
      </c>
      <c r="E78" s="3" t="inlineStr">
        <is>
          <t>Sudharson Narayanan</t>
        </is>
      </c>
      <c r="F78" s="3" t="inlineStr">
        <is>
          <t>Symbiont Life Sciences</t>
        </is>
      </c>
      <c r="G78" s="3" t="inlineStr">
        <is>
          <t>Symbiont Life Sciences</t>
        </is>
      </c>
      <c r="H78" s="3" t="inlineStr">
        <is>
          <t>symbiontcs@gmail.com</t>
        </is>
      </c>
      <c r="I78" s="3" t="inlineStr"/>
      <c r="J78" s="3" t="inlineStr">
        <is>
          <t>Whole Genome Sequencing &amp; Analysis On Illumina Platforms</t>
        </is>
      </c>
      <c r="K78" s="3" t="inlineStr">
        <is>
          <t>N/A</t>
        </is>
      </c>
      <c r="L78" s="3" t="inlineStr">
        <is>
          <t xml:space="preserve">With Analysis </t>
        </is>
      </c>
      <c r="M78" s="3" t="n">
        <v>2</v>
      </c>
      <c r="N78" s="3" t="inlineStr">
        <is>
          <t>45 GB/Sample</t>
        </is>
      </c>
      <c r="O78" s="3" t="inlineStr">
        <is>
          <t>45</t>
        </is>
      </c>
      <c r="P78" s="3" t="n">
        <v>90</v>
      </c>
      <c r="Q78" s="3" t="n">
        <v>39000</v>
      </c>
      <c r="R78" s="3" t="n">
        <v>78000</v>
      </c>
      <c r="S78" s="3" t="n">
        <v>14040</v>
      </c>
      <c r="T78" s="5" t="n">
        <v>92040</v>
      </c>
      <c r="U78" s="5" t="inlineStr">
        <is>
          <t>UG/NGS/TP/2406821</t>
        </is>
      </c>
      <c r="V78" s="5" t="inlineStr">
        <is>
          <t>QC Fail</t>
        </is>
      </c>
      <c r="W78" s="3" t="inlineStr">
        <is>
          <t>Direct</t>
        </is>
      </c>
      <c r="X78" s="3" t="inlineStr">
        <is>
          <t>South</t>
        </is>
      </c>
      <c r="Y78" s="3" t="inlineStr">
        <is>
          <t>Chennai</t>
        </is>
      </c>
      <c r="Z78" s="3" t="inlineStr"/>
    </row>
    <row r="79">
      <c r="A79" s="3" t="n">
        <v>40</v>
      </c>
      <c r="B79" s="3" t="inlineStr">
        <is>
          <t>NGS 240460</t>
        </is>
      </c>
      <c r="C79" s="4" t="n">
        <v>45792</v>
      </c>
      <c r="D79" s="3" t="inlineStr">
        <is>
          <t>May- 2025</t>
        </is>
      </c>
      <c r="E79" s="3" t="inlineStr">
        <is>
          <t>Sudharson Narayanan</t>
        </is>
      </c>
      <c r="F79" s="3" t="inlineStr">
        <is>
          <t>Symbiont Life Sciences</t>
        </is>
      </c>
      <c r="G79" s="3" t="inlineStr">
        <is>
          <t>Symbiont Life Sciences</t>
        </is>
      </c>
      <c r="H79" s="3" t="inlineStr">
        <is>
          <t>symbiontcs@gmail.com</t>
        </is>
      </c>
      <c r="I79" s="3" t="inlineStr"/>
      <c r="J79" s="3" t="inlineStr">
        <is>
          <t>18S RNA Sequencing &amp; Analysis On Illumina Platforms</t>
        </is>
      </c>
      <c r="K79" s="3" t="inlineStr">
        <is>
          <t>N/A</t>
        </is>
      </c>
      <c r="L79" s="3" t="inlineStr">
        <is>
          <t>With Analysis</t>
        </is>
      </c>
      <c r="M79" s="3" t="n">
        <v>5</v>
      </c>
      <c r="N79" s="3" t="inlineStr">
        <is>
          <t>60,000 reads/sample</t>
        </is>
      </c>
      <c r="O79" s="3" t="inlineStr">
        <is>
          <t>0</t>
        </is>
      </c>
      <c r="P79" s="3" t="n">
        <v>0</v>
      </c>
      <c r="Q79" s="3" t="n">
        <v>6500</v>
      </c>
      <c r="R79" s="3" t="n">
        <v>32500</v>
      </c>
      <c r="S79" s="3" t="n">
        <v>5850</v>
      </c>
      <c r="T79" s="5" t="n">
        <v>38350</v>
      </c>
      <c r="U79" s="5" t="inlineStr">
        <is>
          <t>UG/NGS/TP/2407847R1</t>
        </is>
      </c>
      <c r="V79" s="5" t="inlineStr"/>
      <c r="W79" s="3" t="inlineStr">
        <is>
          <t>Direct</t>
        </is>
      </c>
      <c r="X79" s="3" t="inlineStr">
        <is>
          <t>South</t>
        </is>
      </c>
      <c r="Y79" s="3" t="inlineStr">
        <is>
          <t>Chennai</t>
        </is>
      </c>
      <c r="Z79" s="3" t="inlineStr"/>
    </row>
    <row r="80">
      <c r="A80" s="3" t="n">
        <v>40</v>
      </c>
      <c r="B80" s="3" t="inlineStr">
        <is>
          <t>NGS 240461</t>
        </is>
      </c>
      <c r="C80" s="4" t="n">
        <v>45794</v>
      </c>
      <c r="D80" s="3" t="inlineStr">
        <is>
          <t>May- 2025</t>
        </is>
      </c>
      <c r="E80" s="3" t="inlineStr">
        <is>
          <t>Dr.Nishat</t>
        </is>
      </c>
      <c r="F80" s="3" t="inlineStr">
        <is>
          <t>Biologia Research</t>
        </is>
      </c>
      <c r="G80" s="3" t="inlineStr">
        <is>
          <t>Biologia Research</t>
        </is>
      </c>
      <c r="H80" s="3" t="inlineStr">
        <is>
          <t>nishat@biologia.co.in</t>
        </is>
      </c>
      <c r="I80" s="3" t="inlineStr"/>
      <c r="J80" s="3" t="inlineStr">
        <is>
          <t>Whole Genome Sequencing On Illumina Novaseq X Plus Platform</t>
        </is>
      </c>
      <c r="K80" s="3" t="inlineStr">
        <is>
          <t>N/A</t>
        </is>
      </c>
      <c r="L80" s="3" t="inlineStr">
        <is>
          <t xml:space="preserve">Without Analysis  </t>
        </is>
      </c>
      <c r="M80" s="3" t="n">
        <v>1</v>
      </c>
      <c r="N80" s="3" t="inlineStr">
        <is>
          <t>12 GB</t>
        </is>
      </c>
      <c r="O80" s="3" t="inlineStr">
        <is>
          <t>12</t>
        </is>
      </c>
      <c r="P80" s="3" t="n">
        <v>12</v>
      </c>
      <c r="Q80" s="3" t="n">
        <v>15000</v>
      </c>
      <c r="R80" s="3" t="n">
        <v>15000</v>
      </c>
      <c r="S80" s="3" t="n">
        <v>2700</v>
      </c>
      <c r="T80" s="5" t="n">
        <v>17700</v>
      </c>
      <c r="U80" s="5" t="inlineStr"/>
      <c r="V80" s="5" t="inlineStr">
        <is>
          <t>UPL/GEN/99/2526</t>
        </is>
      </c>
      <c r="W80" s="3" t="inlineStr">
        <is>
          <t>Direct</t>
        </is>
      </c>
      <c r="X80" s="3" t="inlineStr">
        <is>
          <t>North</t>
        </is>
      </c>
      <c r="Y80" s="3" t="inlineStr">
        <is>
          <t>Karnal</t>
        </is>
      </c>
      <c r="Z80" s="3" t="inlineStr">
        <is>
          <t xml:space="preserve">Yes </t>
        </is>
      </c>
    </row>
    <row r="81">
      <c r="A81" s="3" t="n">
        <v>41</v>
      </c>
      <c r="B81" s="3" t="inlineStr">
        <is>
          <t>NGS 240463</t>
        </is>
      </c>
      <c r="C81" s="4" t="n">
        <v>45794</v>
      </c>
      <c r="D81" s="3" t="inlineStr">
        <is>
          <t>May- 2025</t>
        </is>
      </c>
      <c r="E81" s="3" t="inlineStr">
        <is>
          <t>Dr. Alpa Dherai</t>
        </is>
      </c>
      <c r="F81" s="3" t="inlineStr">
        <is>
          <t>Hinduja National Hospital</t>
        </is>
      </c>
      <c r="G81" s="3" t="inlineStr">
        <is>
          <t>Hinduja National Hospital</t>
        </is>
      </c>
      <c r="H81" s="3" t="inlineStr">
        <is>
          <t>khushbupadhyay@gmail.com</t>
        </is>
      </c>
      <c r="I81" s="3" t="inlineStr"/>
      <c r="J81" s="3" t="inlineStr">
        <is>
          <t>16S Amplicon Sequencing &amp; Analysis On Illumina Platforms</t>
        </is>
      </c>
      <c r="K81" s="3" t="inlineStr">
        <is>
          <t>N/A</t>
        </is>
      </c>
      <c r="L81" s="3" t="inlineStr">
        <is>
          <t>With Analysis</t>
        </is>
      </c>
      <c r="M81" s="3" t="n">
        <v>42</v>
      </c>
      <c r="N81" s="3" t="inlineStr"/>
      <c r="O81" s="3" t="inlineStr">
        <is>
          <t>0</t>
        </is>
      </c>
      <c r="P81" s="3" t="n">
        <v>0</v>
      </c>
      <c r="Q81" s="3" t="n">
        <v>6000</v>
      </c>
      <c r="R81" s="3" t="n">
        <v>252000</v>
      </c>
      <c r="S81" s="3" t="n">
        <v>45360</v>
      </c>
      <c r="T81" s="5" t="n">
        <v>297360</v>
      </c>
      <c r="U81" s="5" t="inlineStr">
        <is>
          <t>UG/NGS/TP/2308669R1</t>
        </is>
      </c>
      <c r="V81" s="5" t="inlineStr">
        <is>
          <t>UPL/GEN/212/2526</t>
        </is>
      </c>
      <c r="W81" s="3" t="inlineStr">
        <is>
          <t>Direct</t>
        </is>
      </c>
      <c r="X81" s="3" t="inlineStr">
        <is>
          <t>West</t>
        </is>
      </c>
      <c r="Y81" s="3" t="inlineStr">
        <is>
          <t>Maharashtra</t>
        </is>
      </c>
      <c r="Z81" s="3" t="inlineStr"/>
    </row>
    <row r="82">
      <c r="A82" s="3" t="n">
        <v>41</v>
      </c>
      <c r="B82" s="3" t="inlineStr">
        <is>
          <t>NGS 240464</t>
        </is>
      </c>
      <c r="C82" s="4" t="n">
        <v>45794</v>
      </c>
      <c r="D82" s="3" t="inlineStr">
        <is>
          <t>May- 2025</t>
        </is>
      </c>
      <c r="E82" s="3" t="inlineStr">
        <is>
          <t>Dr. Poonam Singh</t>
        </is>
      </c>
      <c r="F82" s="3" t="inlineStr">
        <is>
          <t>CSIR-Nbri</t>
        </is>
      </c>
      <c r="G82" s="3" t="inlineStr">
        <is>
          <t>Future Biotech</t>
        </is>
      </c>
      <c r="H82" s="3" t="inlineStr">
        <is>
          <t>futurebiotech50@gmail.com</t>
        </is>
      </c>
      <c r="I82" s="3" t="inlineStr"/>
      <c r="J82" s="3" t="inlineStr">
        <is>
          <t>Transcriptome Sequencing &amp; Analysis On Illumina Novaseq X Plus Platform</t>
        </is>
      </c>
      <c r="K82" s="3" t="inlineStr">
        <is>
          <t>N/A</t>
        </is>
      </c>
      <c r="L82" s="3" t="inlineStr">
        <is>
          <t>With Analysis</t>
        </is>
      </c>
      <c r="M82" s="3" t="n">
        <v>3</v>
      </c>
      <c r="N82" s="3" t="inlineStr">
        <is>
          <t>5 GB /Sample</t>
        </is>
      </c>
      <c r="O82" s="3" t="inlineStr">
        <is>
          <t>5</t>
        </is>
      </c>
      <c r="P82" s="3" t="n">
        <v>15</v>
      </c>
      <c r="Q82" s="3" t="n">
        <v>16000</v>
      </c>
      <c r="R82" s="3" t="n">
        <v>48000</v>
      </c>
      <c r="S82" s="3" t="n">
        <v>8640</v>
      </c>
      <c r="T82" s="5" t="n">
        <v>56640</v>
      </c>
      <c r="U82" s="5" t="inlineStr">
        <is>
          <t>UG/NGS/TP/2505712</t>
        </is>
      </c>
      <c r="V82" s="5" t="inlineStr">
        <is>
          <t>UPL/GEN/159/2526</t>
        </is>
      </c>
      <c r="W82" s="3" t="inlineStr">
        <is>
          <t>Ankit</t>
        </is>
      </c>
      <c r="X82" s="3" t="inlineStr">
        <is>
          <t>North</t>
        </is>
      </c>
      <c r="Y82" s="3" t="inlineStr">
        <is>
          <t>Up</t>
        </is>
      </c>
      <c r="Z82" s="3" t="inlineStr"/>
    </row>
    <row r="83">
      <c r="A83" s="3" t="n">
        <v>42</v>
      </c>
      <c r="B83" s="3" t="inlineStr">
        <is>
          <t>NGS 240465</t>
        </is>
      </c>
      <c r="C83" s="4" t="n">
        <v>45799</v>
      </c>
      <c r="D83" s="3" t="inlineStr">
        <is>
          <t>May- 2025</t>
        </is>
      </c>
      <c r="E83" s="3" t="inlineStr">
        <is>
          <t>Dr Sanjay Kumar</t>
        </is>
      </c>
      <c r="F83" s="3" t="inlineStr">
        <is>
          <t>Maharshi Dayanand University</t>
        </is>
      </c>
      <c r="G83" s="3" t="inlineStr">
        <is>
          <t>Maharshi Dayanand University</t>
        </is>
      </c>
      <c r="H83" s="3" t="inlineStr">
        <is>
          <t>sanjay.micro@mdurohtak.ac.in</t>
        </is>
      </c>
      <c r="I83" s="3" t="inlineStr"/>
      <c r="J83" s="3" t="inlineStr">
        <is>
          <t>Whole Genome Sequencing &amp; Analysis On Illumina Novaseq X Plus Platform</t>
        </is>
      </c>
      <c r="K83" s="3" t="inlineStr">
        <is>
          <t>N/A</t>
        </is>
      </c>
      <c r="L83" s="3" t="inlineStr">
        <is>
          <t>With Analysis</t>
        </is>
      </c>
      <c r="M83" s="3" t="n">
        <v>1</v>
      </c>
      <c r="N83" s="3" t="inlineStr">
        <is>
          <t>1 GB/Sample</t>
        </is>
      </c>
      <c r="O83" s="3" t="inlineStr">
        <is>
          <t>1</t>
        </is>
      </c>
      <c r="P83" s="3" t="n">
        <v>1</v>
      </c>
      <c r="Q83" s="3" t="n">
        <v>12000</v>
      </c>
      <c r="R83" s="3" t="n">
        <v>12000</v>
      </c>
      <c r="S83" s="3" t="n">
        <v>2160</v>
      </c>
      <c r="T83" s="5" t="n">
        <v>14160</v>
      </c>
      <c r="U83" s="5" t="inlineStr">
        <is>
          <t>UG/NGS/TP/2505749</t>
        </is>
      </c>
      <c r="V83" s="5" t="inlineStr"/>
      <c r="W83" s="3" t="inlineStr">
        <is>
          <t xml:space="preserve">Nem Singh </t>
        </is>
      </c>
      <c r="X83" s="3" t="inlineStr">
        <is>
          <t>North</t>
        </is>
      </c>
      <c r="Y83" s="3" t="inlineStr">
        <is>
          <t>Delhi</t>
        </is>
      </c>
      <c r="Z83" s="3" t="inlineStr"/>
    </row>
    <row r="84">
      <c r="A84" s="3" t="n">
        <v>42</v>
      </c>
      <c r="B84" s="3" t="inlineStr">
        <is>
          <t>NGS 240467</t>
        </is>
      </c>
      <c r="C84" s="4" t="n">
        <v>45799</v>
      </c>
      <c r="D84" s="3" t="inlineStr">
        <is>
          <t>May- 2025</t>
        </is>
      </c>
      <c r="E84" s="3" t="inlineStr">
        <is>
          <t>Dr. V. Balaji</t>
        </is>
      </c>
      <c r="F84" s="3" t="inlineStr">
        <is>
          <t>Cmc Vellore</t>
        </is>
      </c>
      <c r="G84" s="3" t="inlineStr">
        <is>
          <t>Cmc Vellore</t>
        </is>
      </c>
      <c r="H84" s="3" t="inlineStr">
        <is>
          <t>jjj1986@gmail.com</t>
        </is>
      </c>
      <c r="I84" s="3" t="inlineStr"/>
      <c r="J84" s="3" t="inlineStr">
        <is>
          <t>Whole Genome Sequencing On Illumina Novaseq 6000 Platforms</t>
        </is>
      </c>
      <c r="K84" s="3" t="inlineStr">
        <is>
          <t>N/A</t>
        </is>
      </c>
      <c r="L84" s="3" t="inlineStr">
        <is>
          <t xml:space="preserve">Without Analysis  </t>
        </is>
      </c>
      <c r="M84" s="3" t="n">
        <v>314</v>
      </c>
      <c r="N84" s="3" t="inlineStr">
        <is>
          <t>0.5 GB -1 GB/sample</t>
        </is>
      </c>
      <c r="O84" s="3" t="inlineStr">
        <is>
          <t>1</t>
        </is>
      </c>
      <c r="P84" s="3" t="n">
        <v>314</v>
      </c>
      <c r="Q84" s="3" t="n">
        <v>2300</v>
      </c>
      <c r="R84" s="3" t="n">
        <v>722200</v>
      </c>
      <c r="S84" s="3" t="n">
        <v>129996</v>
      </c>
      <c r="T84" s="5" t="n">
        <v>852196</v>
      </c>
      <c r="U84" s="5" t="inlineStr">
        <is>
          <t>UG/NGS/TP/2504621</t>
        </is>
      </c>
      <c r="V84" s="5" t="inlineStr">
        <is>
          <t>UPL/GEN/106/2526</t>
        </is>
      </c>
      <c r="W84" s="3" t="inlineStr">
        <is>
          <t>Direct</t>
        </is>
      </c>
      <c r="X84" s="3" t="inlineStr">
        <is>
          <t>South</t>
        </is>
      </c>
      <c r="Y84" s="3" t="inlineStr">
        <is>
          <t>Vellore</t>
        </is>
      </c>
      <c r="Z84" s="3" t="inlineStr">
        <is>
          <t xml:space="preserve">Yes </t>
        </is>
      </c>
    </row>
    <row r="85">
      <c r="A85" s="3" t="n">
        <v>43</v>
      </c>
      <c r="B85" s="3" t="inlineStr">
        <is>
          <t>NGS 240468</t>
        </is>
      </c>
      <c r="C85" s="4" t="n">
        <v>45799</v>
      </c>
      <c r="D85" s="3" t="inlineStr">
        <is>
          <t>May- 2025</t>
        </is>
      </c>
      <c r="E85" s="3" t="inlineStr">
        <is>
          <t>Mr Rohit</t>
        </is>
      </c>
      <c r="F85" s="3" t="inlineStr">
        <is>
          <t>Gene Bio Solution</t>
        </is>
      </c>
      <c r="G85" s="3" t="inlineStr">
        <is>
          <t>Gene Bio Solution</t>
        </is>
      </c>
      <c r="H85" s="3" t="inlineStr">
        <is>
          <t>infogenebio@gmail.com</t>
        </is>
      </c>
      <c r="I85" s="3" t="inlineStr"/>
      <c r="J85" s="3" t="inlineStr">
        <is>
          <t>Whole Transcriptome Sequencing &amp; Analysis On Illumina Novaseq X Plus Platform</t>
        </is>
      </c>
      <c r="K85" s="3" t="inlineStr">
        <is>
          <t>N/A</t>
        </is>
      </c>
      <c r="L85" s="3" t="inlineStr">
        <is>
          <t>With Analysis</t>
        </is>
      </c>
      <c r="M85" s="3" t="n">
        <v>4</v>
      </c>
      <c r="N85" s="3" t="inlineStr">
        <is>
          <t>5-6 GB/Sample</t>
        </is>
      </c>
      <c r="O85" s="3" t="inlineStr">
        <is>
          <t>6</t>
        </is>
      </c>
      <c r="P85" s="3" t="n">
        <v>24</v>
      </c>
      <c r="Q85" s="3" t="n">
        <v>8000</v>
      </c>
      <c r="R85" s="3" t="n">
        <v>32000</v>
      </c>
      <c r="S85" s="3" t="n">
        <v>5760</v>
      </c>
      <c r="T85" s="5" t="n">
        <v>37760</v>
      </c>
      <c r="U85" s="5" t="inlineStr">
        <is>
          <t>UG/NGS/TP/2505726</t>
        </is>
      </c>
      <c r="V85" s="5" t="inlineStr">
        <is>
          <t>UPL/GEN/180/2526</t>
        </is>
      </c>
      <c r="W85" s="3" t="inlineStr">
        <is>
          <t>Direct</t>
        </is>
      </c>
      <c r="X85" s="3" t="inlineStr">
        <is>
          <t>North</t>
        </is>
      </c>
      <c r="Y85" s="3" t="inlineStr">
        <is>
          <t>Delhi</t>
        </is>
      </c>
      <c r="Z85" s="3" t="inlineStr"/>
    </row>
    <row r="86">
      <c r="A86" s="3" t="n">
        <v>43</v>
      </c>
      <c r="B86" s="3" t="inlineStr">
        <is>
          <t>NGS 240470</t>
        </is>
      </c>
      <c r="C86" s="4" t="n">
        <v>45803</v>
      </c>
      <c r="D86" s="3" t="inlineStr">
        <is>
          <t>May- 2025</t>
        </is>
      </c>
      <c r="E86" s="3" t="inlineStr">
        <is>
          <t>Sudharson Narayanan</t>
        </is>
      </c>
      <c r="F86" s="3" t="inlineStr">
        <is>
          <t>Symbiont Life Sciences</t>
        </is>
      </c>
      <c r="G86" s="3" t="inlineStr">
        <is>
          <t>Symbiont Life Sciences</t>
        </is>
      </c>
      <c r="H86" s="3" t="inlineStr">
        <is>
          <t>symbiontcs@gmail.com</t>
        </is>
      </c>
      <c r="I86" s="3" t="inlineStr"/>
      <c r="J86" s="3" t="inlineStr">
        <is>
          <t>Mitochondrial Genome Sequencing &amp; Analysis On Illumina Platforms</t>
        </is>
      </c>
      <c r="K86" s="3" t="inlineStr">
        <is>
          <t>N/A</t>
        </is>
      </c>
      <c r="L86" s="3" t="inlineStr">
        <is>
          <t>With Analysis</t>
        </is>
      </c>
      <c r="M86" s="3" t="n">
        <v>1</v>
      </c>
      <c r="N86" s="3" t="inlineStr">
        <is>
          <t>3 GB/sample</t>
        </is>
      </c>
      <c r="O86" s="3" t="inlineStr">
        <is>
          <t>3</t>
        </is>
      </c>
      <c r="P86" s="3" t="n">
        <v>3</v>
      </c>
      <c r="Q86" s="3" t="n">
        <v>15000</v>
      </c>
      <c r="R86" s="3" t="n">
        <v>15000</v>
      </c>
      <c r="S86" s="3" t="n">
        <v>2700</v>
      </c>
      <c r="T86" s="5" t="n">
        <v>17700</v>
      </c>
      <c r="U86" s="5" t="inlineStr">
        <is>
          <t>UG/NGS/TP/2309855</t>
        </is>
      </c>
      <c r="V86" s="5" t="inlineStr">
        <is>
          <t>QC Fail</t>
        </is>
      </c>
      <c r="W86" s="3" t="inlineStr">
        <is>
          <t>Direct</t>
        </is>
      </c>
      <c r="X86" s="3" t="inlineStr">
        <is>
          <t>South</t>
        </is>
      </c>
      <c r="Y86" s="3" t="inlineStr">
        <is>
          <t>Chennai</t>
        </is>
      </c>
      <c r="Z86" s="3" t="inlineStr"/>
    </row>
    <row r="87">
      <c r="A87" s="3" t="n">
        <v>44</v>
      </c>
      <c r="B87" s="3" t="inlineStr">
        <is>
          <t>NGS 240471</t>
        </is>
      </c>
      <c r="C87" s="4" t="n">
        <v>45803</v>
      </c>
      <c r="D87" s="3" t="inlineStr">
        <is>
          <t>May- 2025</t>
        </is>
      </c>
      <c r="E87" s="3" t="inlineStr">
        <is>
          <t>Dr. Anupriya Kaur</t>
        </is>
      </c>
      <c r="F87" s="3" t="inlineStr">
        <is>
          <t>Pgimer</t>
        </is>
      </c>
      <c r="G87" s="3" t="inlineStr">
        <is>
          <t>Pgimer</t>
        </is>
      </c>
      <c r="H87" s="3" t="inlineStr">
        <is>
          <t>anukaur.genetics@gmail.com &amp; anu1995gn@gmail.com, drgp04@gmail.com</t>
        </is>
      </c>
      <c r="I87" s="3" t="inlineStr"/>
      <c r="J87" s="3" t="inlineStr">
        <is>
          <t>Custom Panel Sequencing</t>
        </is>
      </c>
      <c r="K87" s="3" t="inlineStr">
        <is>
          <t>N/A</t>
        </is>
      </c>
      <c r="L87" s="3" t="inlineStr">
        <is>
          <t xml:space="preserve">Without Analysis  </t>
        </is>
      </c>
      <c r="M87" s="3" t="n">
        <v>4</v>
      </c>
      <c r="N87" s="3" t="inlineStr">
        <is>
          <t>1 million read /sample</t>
        </is>
      </c>
      <c r="O87" s="3" t="inlineStr"/>
      <c r="P87" s="3" t="n">
        <v>0</v>
      </c>
      <c r="Q87" s="3" t="n">
        <v>6000</v>
      </c>
      <c r="R87" s="3" t="n">
        <v>24000</v>
      </c>
      <c r="S87" s="3" t="n">
        <v>4320</v>
      </c>
      <c r="T87" s="5" t="n">
        <v>28320</v>
      </c>
      <c r="U87" s="5" t="inlineStr">
        <is>
          <t>UG/NGS/TP/2312198R1</t>
        </is>
      </c>
      <c r="V87" s="5" t="inlineStr"/>
      <c r="W87" s="3" t="inlineStr">
        <is>
          <t>Direct</t>
        </is>
      </c>
      <c r="X87" s="3" t="inlineStr">
        <is>
          <t>South</t>
        </is>
      </c>
      <c r="Y87" s="3" t="inlineStr">
        <is>
          <t>Chennai</t>
        </is>
      </c>
      <c r="Z87" s="3" t="inlineStr">
        <is>
          <t xml:space="preserve">Yes </t>
        </is>
      </c>
    </row>
    <row r="88">
      <c r="A88" s="3" t="n">
        <v>44</v>
      </c>
      <c r="B88" s="3" t="inlineStr">
        <is>
          <t>NGS 240472</t>
        </is>
      </c>
      <c r="C88" s="4" t="n">
        <v>45803</v>
      </c>
      <c r="D88" s="3" t="inlineStr">
        <is>
          <t>May- 2025</t>
        </is>
      </c>
      <c r="E88" s="3" t="inlineStr">
        <is>
          <t>Neha Angelin F</t>
        </is>
      </c>
      <c r="F88" s="3" t="inlineStr">
        <is>
          <t>Srm Institute</t>
        </is>
      </c>
      <c r="G88" s="3" t="inlineStr">
        <is>
          <t>Srm Institute</t>
        </is>
      </c>
      <c r="H88" s="3" t="inlineStr">
        <is>
          <t>nehafranklin@gmail.com</t>
        </is>
      </c>
      <c r="I88" s="3" t="inlineStr"/>
      <c r="J88" s="3" t="inlineStr">
        <is>
          <t>Transcriptome Sequencing &amp; Analysis On Illumina Novaseq X Plus Platform</t>
        </is>
      </c>
      <c r="K88" s="3" t="inlineStr">
        <is>
          <t>N/A</t>
        </is>
      </c>
      <c r="L88" s="3" t="inlineStr">
        <is>
          <t>With Analysis</t>
        </is>
      </c>
      <c r="M88" s="3" t="n">
        <v>6</v>
      </c>
      <c r="N88" s="3" t="inlineStr">
        <is>
          <t>3 GB /sample</t>
        </is>
      </c>
      <c r="O88" s="3" t="inlineStr">
        <is>
          <t>3</t>
        </is>
      </c>
      <c r="P88" s="3" t="n">
        <v>18</v>
      </c>
      <c r="Q88" s="3" t="n">
        <v>10000</v>
      </c>
      <c r="R88" s="3" t="n">
        <v>60000</v>
      </c>
      <c r="S88" s="3" t="n">
        <v>10800</v>
      </c>
      <c r="T88" s="5" t="n">
        <v>70800</v>
      </c>
      <c r="U88" s="5" t="inlineStr">
        <is>
          <t>UG/NGS/TP/2505766</t>
        </is>
      </c>
      <c r="V88" s="5" t="inlineStr">
        <is>
          <t>UPL/GEN/163/2526</t>
        </is>
      </c>
      <c r="W88" s="3" t="inlineStr">
        <is>
          <t>Direct</t>
        </is>
      </c>
      <c r="X88" s="3" t="inlineStr">
        <is>
          <t>South</t>
        </is>
      </c>
      <c r="Y88" s="3" t="inlineStr">
        <is>
          <t>Chennai</t>
        </is>
      </c>
      <c r="Z88" s="3" t="inlineStr"/>
    </row>
    <row r="89">
      <c r="A89" s="3" t="n">
        <v>45</v>
      </c>
      <c r="B89" s="3" t="inlineStr">
        <is>
          <t>NGS 240473</t>
        </is>
      </c>
      <c r="C89" s="4" t="n">
        <v>45803</v>
      </c>
      <c r="D89" s="3" t="inlineStr">
        <is>
          <t>May- 2025</t>
        </is>
      </c>
      <c r="E89" s="3" t="inlineStr">
        <is>
          <t>Dr. Kashyap Thummar</t>
        </is>
      </c>
      <c r="F89" s="3" t="inlineStr">
        <is>
          <t>Gtu</t>
        </is>
      </c>
      <c r="G89" s="3" t="inlineStr">
        <is>
          <t>Gtu</t>
        </is>
      </c>
      <c r="H89" s="3" t="inlineStr">
        <is>
          <t>jrf_sneha@gtu.edu.in</t>
        </is>
      </c>
      <c r="I89" s="3" t="inlineStr"/>
      <c r="J89" s="3" t="inlineStr">
        <is>
          <t>Transcriptome Sequencing &amp; Analysis On Illumina Novaseq X Plus Platforms</t>
        </is>
      </c>
      <c r="K89" s="3" t="inlineStr">
        <is>
          <t>N/A</t>
        </is>
      </c>
      <c r="L89" s="3" t="inlineStr">
        <is>
          <t>With Analysis</t>
        </is>
      </c>
      <c r="M89" s="3" t="n">
        <v>2</v>
      </c>
      <c r="N89" s="3" t="inlineStr">
        <is>
          <t>16-18 GB/ sample</t>
        </is>
      </c>
      <c r="O89" s="3" t="inlineStr">
        <is>
          <t>18</t>
        </is>
      </c>
      <c r="P89" s="3" t="n">
        <v>36</v>
      </c>
      <c r="Q89" s="3" t="n">
        <v>17000</v>
      </c>
      <c r="R89" s="3" t="n">
        <v>34000</v>
      </c>
      <c r="S89" s="3" t="n">
        <v>6120</v>
      </c>
      <c r="T89" s="5" t="n">
        <v>40120</v>
      </c>
      <c r="U89" s="5" t="inlineStr">
        <is>
          <t>UG/NGS/TP/2411222</t>
        </is>
      </c>
      <c r="V89" s="5" t="inlineStr"/>
      <c r="W89" s="3" t="inlineStr">
        <is>
          <t>Direct</t>
        </is>
      </c>
      <c r="X89" s="3" t="inlineStr">
        <is>
          <t>West</t>
        </is>
      </c>
      <c r="Y89" s="3" t="inlineStr">
        <is>
          <t>Gandhinagar</t>
        </is>
      </c>
      <c r="Z89" s="3" t="inlineStr"/>
    </row>
    <row r="90">
      <c r="A90" s="3" t="inlineStr"/>
      <c r="B90" s="3" t="inlineStr">
        <is>
          <t>NGS 240474</t>
        </is>
      </c>
      <c r="C90" s="4" t="n">
        <v>45813</v>
      </c>
      <c r="D90" s="3" t="inlineStr">
        <is>
          <t>June- 2025</t>
        </is>
      </c>
      <c r="E90" s="3" t="inlineStr">
        <is>
          <t>Dr. Kashyap Thummar</t>
        </is>
      </c>
      <c r="F90" s="3" t="inlineStr">
        <is>
          <t>Gtu</t>
        </is>
      </c>
      <c r="G90" s="3" t="inlineStr">
        <is>
          <t>Gtu</t>
        </is>
      </c>
      <c r="H90" s="3" t="inlineStr">
        <is>
          <t>jrf_sneha@gtu.edu.in</t>
        </is>
      </c>
      <c r="I90" s="3" t="inlineStr"/>
      <c r="J90" s="3" t="inlineStr">
        <is>
          <t>Transcriptome Sequencing &amp; Analysis On Illumina Novaseq X Plus Platforms</t>
        </is>
      </c>
      <c r="K90" s="3" t="inlineStr">
        <is>
          <t>N/A</t>
        </is>
      </c>
      <c r="L90" s="3" t="inlineStr">
        <is>
          <t>With Analysis</t>
        </is>
      </c>
      <c r="M90" s="3" t="n">
        <v>8</v>
      </c>
      <c r="N90" s="3" t="inlineStr">
        <is>
          <t>16-18 GB/ sample</t>
        </is>
      </c>
      <c r="O90" s="3" t="inlineStr">
        <is>
          <t>18</t>
        </is>
      </c>
      <c r="P90" s="3" t="n">
        <v>144</v>
      </c>
      <c r="Q90" s="3" t="n">
        <v>17000</v>
      </c>
      <c r="R90" s="3" t="n">
        <v>136000</v>
      </c>
      <c r="S90" s="3" t="n">
        <v>24480</v>
      </c>
      <c r="T90" s="5" t="n">
        <v>160480</v>
      </c>
      <c r="U90" s="5" t="inlineStr">
        <is>
          <t>UG/NGS/TP/2411222</t>
        </is>
      </c>
      <c r="V90" s="5" t="inlineStr">
        <is>
          <t xml:space="preserve">Done </t>
        </is>
      </c>
      <c r="W90" s="3" t="inlineStr"/>
      <c r="X90" s="3" t="inlineStr">
        <is>
          <t>N/A</t>
        </is>
      </c>
      <c r="Y90" s="3" t="inlineStr">
        <is>
          <t>N/A</t>
        </is>
      </c>
      <c r="Z90" s="3" t="inlineStr"/>
    </row>
    <row r="91">
      <c r="A91" s="3" t="inlineStr"/>
      <c r="B91" s="3" t="inlineStr">
        <is>
          <t>NGS 240475</t>
        </is>
      </c>
      <c r="C91" s="4" t="n">
        <v>45813</v>
      </c>
      <c r="D91" s="3" t="inlineStr">
        <is>
          <t>June- 2025</t>
        </is>
      </c>
      <c r="E91" s="3" t="inlineStr">
        <is>
          <t>Dr. Aparna Sharma</t>
        </is>
      </c>
      <c r="F91" s="3" t="inlineStr">
        <is>
          <t>Aiims Delhi</t>
        </is>
      </c>
      <c r="G91" s="3" t="inlineStr">
        <is>
          <t>Aiims Delhi</t>
        </is>
      </c>
      <c r="H91" s="3" t="inlineStr">
        <is>
          <t>monikachettri126@gmail.com</t>
        </is>
      </c>
      <c r="I91" s="3" t="inlineStr"/>
      <c r="J91" s="3" t="inlineStr">
        <is>
          <t>Transcriptome Sequencing &amp; Analysis On Illumina Novaseq X Plus Platform (Fusion Analysis Using Transcriptome Data)</t>
        </is>
      </c>
      <c r="K91" s="3" t="inlineStr">
        <is>
          <t>N/A</t>
        </is>
      </c>
      <c r="L91" s="3" t="inlineStr">
        <is>
          <t>With Analysis</t>
        </is>
      </c>
      <c r="M91" s="3" t="n">
        <v>5</v>
      </c>
      <c r="N91" s="3" t="inlineStr">
        <is>
          <t>30 GB/Sample</t>
        </is>
      </c>
      <c r="O91" s="3" t="inlineStr">
        <is>
          <t>30</t>
        </is>
      </c>
      <c r="P91" s="3" t="n">
        <v>150</v>
      </c>
      <c r="Q91" s="3" t="n">
        <v>25000</v>
      </c>
      <c r="R91" s="3" t="n">
        <v>125000</v>
      </c>
      <c r="S91" s="3" t="n">
        <v>22500</v>
      </c>
      <c r="T91" s="5" t="n">
        <v>147500</v>
      </c>
      <c r="U91" s="5" t="inlineStr">
        <is>
          <t>UG/NGS/TP/2505772</t>
        </is>
      </c>
      <c r="V91" s="5" t="inlineStr">
        <is>
          <t>QC Fail</t>
        </is>
      </c>
      <c r="W91" s="3" t="inlineStr"/>
      <c r="X91" s="3" t="inlineStr">
        <is>
          <t>N/A</t>
        </is>
      </c>
      <c r="Y91" s="3" t="inlineStr">
        <is>
          <t>N/A</t>
        </is>
      </c>
      <c r="Z91" s="3" t="inlineStr"/>
    </row>
    <row r="92">
      <c r="A92" s="3" t="inlineStr"/>
      <c r="B92" s="3" t="inlineStr">
        <is>
          <t>NGS 240475</t>
        </is>
      </c>
      <c r="C92" s="4" t="n">
        <v>45813</v>
      </c>
      <c r="D92" s="3" t="inlineStr">
        <is>
          <t>June- 2025</t>
        </is>
      </c>
      <c r="E92" s="3" t="inlineStr">
        <is>
          <t>Dr. Aparna Sharma</t>
        </is>
      </c>
      <c r="F92" s="3" t="inlineStr">
        <is>
          <t>Aiims Delhi</t>
        </is>
      </c>
      <c r="G92" s="3" t="inlineStr">
        <is>
          <t>Aiims Delhi</t>
        </is>
      </c>
      <c r="H92" s="3" t="inlineStr">
        <is>
          <t>monikachettri126@gmail.com</t>
        </is>
      </c>
      <c r="I92" s="3" t="inlineStr"/>
      <c r="J92" s="3" t="inlineStr">
        <is>
          <t>Transcriptome Sequencing &amp; Analysis On Illumina Novaseq X Plus Platform (Fusion Analysis Using Transcriptome Data)</t>
        </is>
      </c>
      <c r="K92" s="3" t="inlineStr">
        <is>
          <t>N/A</t>
        </is>
      </c>
      <c r="L92" s="3" t="inlineStr">
        <is>
          <t>With Analysis</t>
        </is>
      </c>
      <c r="M92" s="3" t="n">
        <v>15</v>
      </c>
      <c r="N92" s="3" t="inlineStr">
        <is>
          <t>30 GB/Sample</t>
        </is>
      </c>
      <c r="O92" s="3" t="inlineStr">
        <is>
          <t>30</t>
        </is>
      </c>
      <c r="P92" s="3" t="n">
        <v>450</v>
      </c>
      <c r="Q92" s="3" t="n">
        <v>25000</v>
      </c>
      <c r="R92" s="3" t="n">
        <v>375000</v>
      </c>
      <c r="S92" s="3" t="n">
        <v>67500</v>
      </c>
      <c r="T92" s="5" t="n">
        <v>442500</v>
      </c>
      <c r="U92" s="5" t="inlineStr">
        <is>
          <t>UG/NGS/TP/2505772</t>
        </is>
      </c>
      <c r="V92" s="5" t="inlineStr">
        <is>
          <t>UPL/GEN/307/2526</t>
        </is>
      </c>
      <c r="W92" s="3" t="inlineStr"/>
      <c r="X92" s="3" t="inlineStr">
        <is>
          <t>N/A</t>
        </is>
      </c>
      <c r="Y92" s="3" t="inlineStr">
        <is>
          <t>N/A</t>
        </is>
      </c>
      <c r="Z92" s="3" t="inlineStr"/>
    </row>
    <row r="93">
      <c r="A93" s="3" t="inlineStr"/>
      <c r="B93" s="3" t="inlineStr">
        <is>
          <t>NGS 240476</t>
        </is>
      </c>
      <c r="C93" s="4" t="n">
        <v>45813</v>
      </c>
      <c r="D93" s="3" t="inlineStr">
        <is>
          <t>June- 2025</t>
        </is>
      </c>
      <c r="E93" s="3" t="inlineStr">
        <is>
          <t>Dr. Aparna Sharma</t>
        </is>
      </c>
      <c r="F93" s="3" t="inlineStr">
        <is>
          <t>Aiims Delhi</t>
        </is>
      </c>
      <c r="G93" s="3" t="inlineStr">
        <is>
          <t>Aiims Delhi</t>
        </is>
      </c>
      <c r="H93" s="3" t="inlineStr">
        <is>
          <t>monikachettri126@gmail.com</t>
        </is>
      </c>
      <c r="I93" s="3" t="inlineStr"/>
      <c r="J93" s="3" t="inlineStr">
        <is>
          <t>Whole Exome Sequencing &amp; Analysis On Illumina Novaseq X Plus Platform (200X Coverage)</t>
        </is>
      </c>
      <c r="K93" s="3" t="inlineStr">
        <is>
          <t>N/A</t>
        </is>
      </c>
      <c r="L93" s="3" t="inlineStr">
        <is>
          <t>With Analysis</t>
        </is>
      </c>
      <c r="M93" s="3" t="n">
        <v>20</v>
      </c>
      <c r="N93" s="3" t="inlineStr">
        <is>
          <t>8-10 GB/Sample</t>
        </is>
      </c>
      <c r="O93" s="3" t="inlineStr">
        <is>
          <t>10</t>
        </is>
      </c>
      <c r="P93" s="3" t="n">
        <v>200</v>
      </c>
      <c r="Q93" s="3" t="n">
        <v>14000</v>
      </c>
      <c r="R93" s="3" t="n">
        <v>280000</v>
      </c>
      <c r="S93" s="3" t="n">
        <v>50400</v>
      </c>
      <c r="T93" s="5" t="n">
        <v>330400</v>
      </c>
      <c r="U93" s="5" t="inlineStr">
        <is>
          <t>UG/NGS/TP/2505770</t>
        </is>
      </c>
      <c r="V93" s="5" t="inlineStr">
        <is>
          <t>UPL/GEN/258/2526</t>
        </is>
      </c>
      <c r="W93" s="3" t="inlineStr"/>
      <c r="X93" s="3" t="inlineStr">
        <is>
          <t>N/A</t>
        </is>
      </c>
      <c r="Y93" s="3" t="inlineStr">
        <is>
          <t>N/A</t>
        </is>
      </c>
      <c r="Z93" s="3" t="inlineStr"/>
    </row>
    <row r="94">
      <c r="A94" s="3" t="inlineStr"/>
      <c r="B94" s="3" t="inlineStr">
        <is>
          <t>NGS 240477</t>
        </is>
      </c>
      <c r="C94" s="4" t="n">
        <v>45813</v>
      </c>
      <c r="D94" s="3" t="inlineStr">
        <is>
          <t>June- 2025</t>
        </is>
      </c>
      <c r="E94" s="3" t="inlineStr">
        <is>
          <t>N/A</t>
        </is>
      </c>
      <c r="F94" s="3" t="inlineStr">
        <is>
          <t>Ana Bioenergy</t>
        </is>
      </c>
      <c r="G94" s="3" t="inlineStr">
        <is>
          <t>Ana Bioenergy</t>
        </is>
      </c>
      <c r="H94" s="3" t="inlineStr">
        <is>
          <t>anabioenergy@gmail.com</t>
        </is>
      </c>
      <c r="I94" s="3" t="inlineStr"/>
      <c r="J94" s="3" t="inlineStr">
        <is>
          <t>16S V3-V4 Metagenome Sequencing &amp; Analysis On Illumina Platform</t>
        </is>
      </c>
      <c r="K94" s="3" t="inlineStr">
        <is>
          <t>N/A</t>
        </is>
      </c>
      <c r="L94" s="3" t="inlineStr">
        <is>
          <t>With Analysis</t>
        </is>
      </c>
      <c r="M94" s="3" t="n">
        <v>1</v>
      </c>
      <c r="N94" s="3" t="inlineStr">
        <is>
          <t>60,000-1,00,000 Reads /sample</t>
        </is>
      </c>
      <c r="O94" s="3" t="inlineStr"/>
      <c r="P94" s="3" t="n">
        <v>0</v>
      </c>
      <c r="Q94" s="3" t="n">
        <v>7000</v>
      </c>
      <c r="R94" s="3" t="n">
        <v>7000</v>
      </c>
      <c r="S94" s="3" t="n">
        <v>1260</v>
      </c>
      <c r="T94" s="5" t="n">
        <v>8260</v>
      </c>
      <c r="U94" s="5" t="inlineStr">
        <is>
          <t>UG/NGS/TP/2506787</t>
        </is>
      </c>
      <c r="V94" s="5" t="inlineStr">
        <is>
          <t>UPL/GEN/146/2526</t>
        </is>
      </c>
      <c r="W94" s="3" t="inlineStr"/>
      <c r="X94" s="3" t="inlineStr">
        <is>
          <t>N/A</t>
        </is>
      </c>
      <c r="Y94" s="3" t="inlineStr">
        <is>
          <t>N/A</t>
        </is>
      </c>
      <c r="Z94" s="3" t="inlineStr"/>
    </row>
    <row r="95">
      <c r="A95" s="3" t="inlineStr"/>
      <c r="B95" s="3" t="inlineStr">
        <is>
          <t>NGS 240478</t>
        </is>
      </c>
      <c r="C95" s="4" t="n">
        <v>45813</v>
      </c>
      <c r="D95" s="3" t="inlineStr">
        <is>
          <t>June- 2025</t>
        </is>
      </c>
      <c r="E95" s="3" t="inlineStr">
        <is>
          <t>Mr. Tushar Midha</t>
        </is>
      </c>
      <c r="F95" s="3" t="inlineStr">
        <is>
          <t>Cup</t>
        </is>
      </c>
      <c r="G95" s="3" t="inlineStr">
        <is>
          <t>Cup</t>
        </is>
      </c>
      <c r="H95" s="3" t="inlineStr">
        <is>
          <t xml:space="preserve">midhatushar@gmail.com </t>
        </is>
      </c>
      <c r="I95" s="3" t="inlineStr"/>
      <c r="J95" s="3" t="inlineStr">
        <is>
          <t>Whole Genome Sequencing &amp; Analysis On Illumina Novaseq 6000 Platforms</t>
        </is>
      </c>
      <c r="K95" s="3" t="inlineStr">
        <is>
          <t>N/A</t>
        </is>
      </c>
      <c r="L95" s="3" t="inlineStr">
        <is>
          <t>With Analysis</t>
        </is>
      </c>
      <c r="M95" s="3" t="n">
        <v>2</v>
      </c>
      <c r="N95" s="3" t="inlineStr">
        <is>
          <t>1 GB/Sample</t>
        </is>
      </c>
      <c r="O95" s="3" t="inlineStr">
        <is>
          <t>1</t>
        </is>
      </c>
      <c r="P95" s="3" t="n">
        <v>2</v>
      </c>
      <c r="Q95" s="3" t="n">
        <v>10380</v>
      </c>
      <c r="R95" s="3" t="n">
        <v>20760</v>
      </c>
      <c r="S95" s="3" t="n">
        <v>3736.8</v>
      </c>
      <c r="T95" s="5" t="n">
        <v>24496.8</v>
      </c>
      <c r="U95" s="5" t="inlineStr">
        <is>
          <t>UG/NGS/TP/2312146</t>
        </is>
      </c>
      <c r="V95" s="5" t="inlineStr">
        <is>
          <t xml:space="preserve">Done </t>
        </is>
      </c>
      <c r="W95" s="3" t="inlineStr"/>
      <c r="X95" s="3" t="inlineStr">
        <is>
          <t>N/A</t>
        </is>
      </c>
      <c r="Y95" s="3" t="inlineStr">
        <is>
          <t>N/A</t>
        </is>
      </c>
      <c r="Z95" s="3" t="inlineStr"/>
    </row>
    <row r="96">
      <c r="A96" s="3" t="inlineStr"/>
      <c r="B96" s="3" t="inlineStr">
        <is>
          <t>NGS 240478</t>
        </is>
      </c>
      <c r="C96" s="4" t="n">
        <v>45813</v>
      </c>
      <c r="D96" s="3" t="inlineStr">
        <is>
          <t>June- 2025</t>
        </is>
      </c>
      <c r="E96" s="3" t="inlineStr">
        <is>
          <t>Mr. Tushar Midha</t>
        </is>
      </c>
      <c r="F96" s="3" t="inlineStr">
        <is>
          <t>Cup</t>
        </is>
      </c>
      <c r="G96" s="3" t="inlineStr">
        <is>
          <t>Cup</t>
        </is>
      </c>
      <c r="H96" s="3" t="inlineStr">
        <is>
          <t xml:space="preserve">midhatushar@gmail.com </t>
        </is>
      </c>
      <c r="I96" s="3" t="inlineStr"/>
      <c r="J96" s="3" t="inlineStr">
        <is>
          <t>Whole Genome Sequencing &amp; Analysis On Illumina Novaseq 6000 Platforms</t>
        </is>
      </c>
      <c r="K96" s="3" t="inlineStr">
        <is>
          <t>N/A</t>
        </is>
      </c>
      <c r="L96" s="3" t="inlineStr">
        <is>
          <t>With Analysis</t>
        </is>
      </c>
      <c r="M96" s="3" t="n">
        <v>1</v>
      </c>
      <c r="N96" s="3" t="inlineStr">
        <is>
          <t>1 GB/Sample</t>
        </is>
      </c>
      <c r="O96" s="3" t="inlineStr">
        <is>
          <t>1</t>
        </is>
      </c>
      <c r="P96" s="3" t="n">
        <v>1</v>
      </c>
      <c r="Q96" s="3" t="n">
        <v>10380</v>
      </c>
      <c r="R96" s="3" t="n">
        <v>10380</v>
      </c>
      <c r="S96" s="3" t="n">
        <v>1868.4</v>
      </c>
      <c r="T96" s="5" t="n">
        <v>12248.4</v>
      </c>
      <c r="U96" s="5" t="inlineStr">
        <is>
          <t>UG/NGS/TP/2312146</t>
        </is>
      </c>
      <c r="V96" s="5" t="inlineStr">
        <is>
          <t xml:space="preserve">Done </t>
        </is>
      </c>
      <c r="W96" s="3" t="inlineStr"/>
      <c r="X96" s="3" t="inlineStr">
        <is>
          <t>N/A</t>
        </is>
      </c>
      <c r="Y96" s="3" t="inlineStr">
        <is>
          <t>N/A</t>
        </is>
      </c>
      <c r="Z96" s="3" t="inlineStr"/>
    </row>
    <row r="97">
      <c r="A97" s="3" t="inlineStr"/>
      <c r="B97" s="3" t="inlineStr">
        <is>
          <t>NGS 240478</t>
        </is>
      </c>
      <c r="C97" s="4" t="n">
        <v>45813</v>
      </c>
      <c r="D97" s="3" t="inlineStr">
        <is>
          <t>June- 2025</t>
        </is>
      </c>
      <c r="E97" s="3" t="inlineStr">
        <is>
          <t>Mr. Tushar Midha</t>
        </is>
      </c>
      <c r="F97" s="3" t="inlineStr">
        <is>
          <t>Cup</t>
        </is>
      </c>
      <c r="G97" s="3" t="inlineStr">
        <is>
          <t>Cup</t>
        </is>
      </c>
      <c r="H97" s="3" t="inlineStr">
        <is>
          <t xml:space="preserve">midhatushar@gmail.com </t>
        </is>
      </c>
      <c r="I97" s="3" t="inlineStr"/>
      <c r="J97" s="3" t="inlineStr">
        <is>
          <t>Whole Genome Sequencing &amp; Analysis On Illumina Novaseq 6000 Platforms</t>
        </is>
      </c>
      <c r="K97" s="3" t="inlineStr">
        <is>
          <t>N/A</t>
        </is>
      </c>
      <c r="L97" s="3" t="inlineStr">
        <is>
          <t>With Analysis</t>
        </is>
      </c>
      <c r="M97" s="3" t="n">
        <v>1</v>
      </c>
      <c r="N97" s="3" t="inlineStr">
        <is>
          <t>1 GB/Sample</t>
        </is>
      </c>
      <c r="O97" s="3" t="inlineStr">
        <is>
          <t>1</t>
        </is>
      </c>
      <c r="P97" s="3" t="n">
        <v>1</v>
      </c>
      <c r="Q97" s="3" t="n">
        <v>10380</v>
      </c>
      <c r="R97" s="3" t="n">
        <v>10380</v>
      </c>
      <c r="S97" s="3" t="n">
        <v>1868.4</v>
      </c>
      <c r="T97" s="5" t="n">
        <v>12248.4</v>
      </c>
      <c r="U97" s="5" t="inlineStr">
        <is>
          <t>UG/NGS/TP/2312146</t>
        </is>
      </c>
      <c r="V97" s="5" t="inlineStr">
        <is>
          <t xml:space="preserve">Done </t>
        </is>
      </c>
      <c r="W97" s="3" t="inlineStr"/>
      <c r="X97" s="3" t="inlineStr">
        <is>
          <t>N/A</t>
        </is>
      </c>
      <c r="Y97" s="3" t="inlineStr">
        <is>
          <t>N/A</t>
        </is>
      </c>
      <c r="Z97" s="3" t="inlineStr"/>
    </row>
    <row r="98">
      <c r="A98" s="3" t="inlineStr"/>
      <c r="B98" s="3" t="inlineStr">
        <is>
          <t>NGS 240479</t>
        </is>
      </c>
      <c r="C98" s="4" t="n">
        <v>45813</v>
      </c>
      <c r="D98" s="3" t="inlineStr">
        <is>
          <t>June- 2025</t>
        </is>
      </c>
      <c r="E98" s="3" t="inlineStr">
        <is>
          <t>Dr. Aparna Sharma</t>
        </is>
      </c>
      <c r="F98" s="3" t="inlineStr">
        <is>
          <t>Aiims Delhi</t>
        </is>
      </c>
      <c r="G98" s="3" t="inlineStr">
        <is>
          <t>Aiims Delhi</t>
        </is>
      </c>
      <c r="H98" s="3" t="inlineStr">
        <is>
          <t>monikachettri126@gmail.com</t>
        </is>
      </c>
      <c r="I98" s="3" t="inlineStr"/>
      <c r="J98" s="3" t="inlineStr">
        <is>
          <t>Whole Exome Sequencing &amp; Analysis On Illumina Novaseq X Plus Platform (500X Coverage)</t>
        </is>
      </c>
      <c r="K98" s="3" t="inlineStr">
        <is>
          <t>N/A</t>
        </is>
      </c>
      <c r="L98" s="3" t="inlineStr">
        <is>
          <t>With Analysis</t>
        </is>
      </c>
      <c r="M98" s="3" t="n">
        <v>7</v>
      </c>
      <c r="N98" s="3" t="inlineStr">
        <is>
          <t>25 GB/Sample</t>
        </is>
      </c>
      <c r="O98" s="3" t="inlineStr">
        <is>
          <t>25</t>
        </is>
      </c>
      <c r="P98" s="3" t="n">
        <v>175</v>
      </c>
      <c r="Q98" s="3" t="n">
        <v>21000</v>
      </c>
      <c r="R98" s="3" t="n">
        <v>147000</v>
      </c>
      <c r="S98" s="3" t="n">
        <v>26460</v>
      </c>
      <c r="T98" s="5" t="n">
        <v>173460</v>
      </c>
      <c r="U98" s="5" t="inlineStr">
        <is>
          <t>UG/NGS/TP/2505771</t>
        </is>
      </c>
      <c r="V98" s="5" t="inlineStr">
        <is>
          <t>UPL/GEN/260/2526</t>
        </is>
      </c>
      <c r="W98" s="3" t="inlineStr"/>
      <c r="X98" s="3" t="inlineStr">
        <is>
          <t>N/A</t>
        </is>
      </c>
      <c r="Y98" s="3" t="inlineStr">
        <is>
          <t>N/A</t>
        </is>
      </c>
      <c r="Z98" s="3" t="inlineStr"/>
    </row>
    <row r="99">
      <c r="A99" s="3" t="inlineStr"/>
      <c r="B99" s="3" t="inlineStr">
        <is>
          <t>NGS 240479</t>
        </is>
      </c>
      <c r="C99" s="4" t="n">
        <v>45813</v>
      </c>
      <c r="D99" s="3" t="inlineStr">
        <is>
          <t>June- 2025</t>
        </is>
      </c>
      <c r="E99" s="3" t="inlineStr">
        <is>
          <t>Dr. Aparna Sharma</t>
        </is>
      </c>
      <c r="F99" s="3" t="inlineStr">
        <is>
          <t>Aiims Delhi</t>
        </is>
      </c>
      <c r="G99" s="3" t="inlineStr">
        <is>
          <t>Aiims Delhi</t>
        </is>
      </c>
      <c r="H99" s="3" t="inlineStr">
        <is>
          <t>monikachettri126@gmail.com</t>
        </is>
      </c>
      <c r="I99" s="3" t="inlineStr"/>
      <c r="J99" s="3" t="inlineStr">
        <is>
          <t>Whole Exome Sequencing &amp; Analysis On Illumina Novaseq X Plus Platform (500X Coverage)</t>
        </is>
      </c>
      <c r="K99" s="3" t="inlineStr">
        <is>
          <t>N/A</t>
        </is>
      </c>
      <c r="L99" s="3" t="inlineStr">
        <is>
          <t>With Analysis</t>
        </is>
      </c>
      <c r="M99" s="3" t="n">
        <v>8</v>
      </c>
      <c r="N99" s="3" t="inlineStr">
        <is>
          <t>25 GB/Sample</t>
        </is>
      </c>
      <c r="O99" s="3" t="inlineStr">
        <is>
          <t>25</t>
        </is>
      </c>
      <c r="P99" s="3" t="n">
        <v>200</v>
      </c>
      <c r="Q99" s="3" t="n">
        <v>21000</v>
      </c>
      <c r="R99" s="3" t="n">
        <v>168000</v>
      </c>
      <c r="S99" s="3" t="n">
        <v>30240</v>
      </c>
      <c r="T99" s="5" t="n">
        <v>198240</v>
      </c>
      <c r="U99" s="5" t="inlineStr">
        <is>
          <t>UG/NGS/TP/2505771</t>
        </is>
      </c>
      <c r="V99" s="5" t="inlineStr">
        <is>
          <t xml:space="preserve">Done </t>
        </is>
      </c>
      <c r="W99" s="3" t="inlineStr"/>
      <c r="X99" s="3" t="inlineStr">
        <is>
          <t>N/A</t>
        </is>
      </c>
      <c r="Y99" s="3" t="inlineStr">
        <is>
          <t>N/A</t>
        </is>
      </c>
      <c r="Z99" s="3" t="inlineStr"/>
    </row>
    <row r="100">
      <c r="A100" s="3" t="inlineStr"/>
      <c r="B100" s="3" t="inlineStr">
        <is>
          <t>NGS 240479</t>
        </is>
      </c>
      <c r="C100" s="4" t="n">
        <v>45813</v>
      </c>
      <c r="D100" s="3" t="inlineStr">
        <is>
          <t>June- 2025</t>
        </is>
      </c>
      <c r="E100" s="3" t="inlineStr">
        <is>
          <t>Dr. Aparna Sharma</t>
        </is>
      </c>
      <c r="F100" s="3" t="inlineStr">
        <is>
          <t>Aiims Delhi</t>
        </is>
      </c>
      <c r="G100" s="3" t="inlineStr">
        <is>
          <t>Aiims Delhi</t>
        </is>
      </c>
      <c r="H100" s="3" t="inlineStr">
        <is>
          <t>monikachettri126@gmail.com</t>
        </is>
      </c>
      <c r="I100" s="3" t="inlineStr"/>
      <c r="J100" s="3" t="inlineStr">
        <is>
          <t>Whole Exome Sequencing &amp; Analysis On Illumina Novaseq X Plus Platform (500X Coverage)</t>
        </is>
      </c>
      <c r="K100" s="3" t="inlineStr">
        <is>
          <t>N/A</t>
        </is>
      </c>
      <c r="L100" s="3" t="inlineStr">
        <is>
          <t>With Analysis</t>
        </is>
      </c>
      <c r="M100" s="3" t="n">
        <v>5</v>
      </c>
      <c r="N100" s="3" t="inlineStr">
        <is>
          <t>25 GB/Sample</t>
        </is>
      </c>
      <c r="O100" s="3" t="inlineStr">
        <is>
          <t>25</t>
        </is>
      </c>
      <c r="P100" s="3" t="n">
        <v>125</v>
      </c>
      <c r="Q100" s="3" t="n">
        <v>21000</v>
      </c>
      <c r="R100" s="3" t="n">
        <v>105000</v>
      </c>
      <c r="S100" s="3" t="n">
        <v>18900</v>
      </c>
      <c r="T100" s="5" t="n">
        <v>123900</v>
      </c>
      <c r="U100" s="5" t="inlineStr">
        <is>
          <t>UG/NGS/TP/2505771</t>
        </is>
      </c>
      <c r="V100" s="5" t="inlineStr">
        <is>
          <t>QC Fail</t>
        </is>
      </c>
      <c r="W100" s="3" t="inlineStr"/>
      <c r="X100" s="3" t="inlineStr">
        <is>
          <t>N/A</t>
        </is>
      </c>
      <c r="Y100" s="3" t="inlineStr">
        <is>
          <t>N/A</t>
        </is>
      </c>
      <c r="Z100" s="3" t="inlineStr"/>
    </row>
    <row r="101">
      <c r="A101" s="3" t="inlineStr"/>
      <c r="B101" s="3" t="inlineStr">
        <is>
          <t>NGS 240480</t>
        </is>
      </c>
      <c r="C101" s="4" t="n">
        <v>45814</v>
      </c>
      <c r="D101" s="3" t="inlineStr">
        <is>
          <t>June- 2025</t>
        </is>
      </c>
      <c r="E101" s="3" t="inlineStr">
        <is>
          <t>Sudharson Narayanan</t>
        </is>
      </c>
      <c r="F101" s="3" t="inlineStr">
        <is>
          <t>Symbiont Life Sciences</t>
        </is>
      </c>
      <c r="G101" s="3" t="inlineStr">
        <is>
          <t>Symbiont Life Sciences</t>
        </is>
      </c>
      <c r="H101" s="3" t="inlineStr">
        <is>
          <t>symbiontcs@gmail.com</t>
        </is>
      </c>
      <c r="I101" s="3" t="inlineStr"/>
      <c r="J101" s="3" t="inlineStr">
        <is>
          <t>Mitochondrial Genome Sequencing &amp; Analysis On Illumina Platforms</t>
        </is>
      </c>
      <c r="K101" s="3" t="inlineStr">
        <is>
          <t>N/A</t>
        </is>
      </c>
      <c r="L101" s="3" t="inlineStr">
        <is>
          <t>With Analysis</t>
        </is>
      </c>
      <c r="M101" s="3" t="n">
        <v>1</v>
      </c>
      <c r="N101" s="3" t="inlineStr">
        <is>
          <t>3 GB/sample</t>
        </is>
      </c>
      <c r="O101" s="3" t="inlineStr">
        <is>
          <t>3</t>
        </is>
      </c>
      <c r="P101" s="3" t="n">
        <v>3</v>
      </c>
      <c r="Q101" s="3" t="n">
        <v>15000</v>
      </c>
      <c r="R101" s="3" t="n">
        <v>15000</v>
      </c>
      <c r="S101" s="3" t="n">
        <v>2700</v>
      </c>
      <c r="T101" s="5" t="n">
        <v>17700</v>
      </c>
      <c r="U101" s="5" t="inlineStr">
        <is>
          <t>UG/NGS/TP/2309855</t>
        </is>
      </c>
      <c r="V101" s="5" t="inlineStr">
        <is>
          <t>UPL/GEN/193/2526</t>
        </is>
      </c>
      <c r="W101" s="3" t="inlineStr"/>
      <c r="X101" s="3" t="inlineStr">
        <is>
          <t>N/A</t>
        </is>
      </c>
      <c r="Y101" s="3" t="inlineStr">
        <is>
          <t>N/A</t>
        </is>
      </c>
      <c r="Z101" s="3" t="inlineStr"/>
    </row>
    <row r="102">
      <c r="A102" s="3" t="inlineStr"/>
      <c r="B102" s="3" t="inlineStr">
        <is>
          <t>NGS 240481</t>
        </is>
      </c>
      <c r="C102" s="4" t="n">
        <v>45814</v>
      </c>
      <c r="D102" s="3" t="inlineStr">
        <is>
          <t>June- 2025</t>
        </is>
      </c>
      <c r="E102" s="3" t="inlineStr">
        <is>
          <t>Sudharson Narayanan</t>
        </is>
      </c>
      <c r="F102" s="3" t="inlineStr">
        <is>
          <t>Symbiont Life Sciences</t>
        </is>
      </c>
      <c r="G102" s="3" t="inlineStr">
        <is>
          <t>Symbiont Life Sciences</t>
        </is>
      </c>
      <c r="H102" s="3" t="inlineStr">
        <is>
          <t>symbiontcs@gmail.com</t>
        </is>
      </c>
      <c r="I102" s="3" t="inlineStr"/>
      <c r="J102" s="3" t="inlineStr">
        <is>
          <t>Mitochondrial Genome Sequencing &amp; Analysis On Illumina Platforms</t>
        </is>
      </c>
      <c r="K102" s="3" t="inlineStr">
        <is>
          <t>N/A</t>
        </is>
      </c>
      <c r="L102" s="3" t="inlineStr">
        <is>
          <t>With Analysis</t>
        </is>
      </c>
      <c r="M102" s="3" t="n">
        <v>1</v>
      </c>
      <c r="N102" s="3" t="inlineStr">
        <is>
          <t>3 GB/sample</t>
        </is>
      </c>
      <c r="O102" s="3" t="inlineStr">
        <is>
          <t>3</t>
        </is>
      </c>
      <c r="P102" s="3" t="n">
        <v>3</v>
      </c>
      <c r="Q102" s="3" t="n">
        <v>15000</v>
      </c>
      <c r="R102" s="3" t="n">
        <v>15000</v>
      </c>
      <c r="S102" s="3" t="n">
        <v>2700</v>
      </c>
      <c r="T102" s="5" t="n">
        <v>17700</v>
      </c>
      <c r="U102" s="5" t="inlineStr">
        <is>
          <t>UG/NGS/TP/2309855</t>
        </is>
      </c>
      <c r="V102" s="5" t="inlineStr">
        <is>
          <t xml:space="preserve">Done </t>
        </is>
      </c>
      <c r="W102" s="3" t="inlineStr"/>
      <c r="X102" s="3" t="inlineStr">
        <is>
          <t>N/A</t>
        </is>
      </c>
      <c r="Y102" s="3" t="inlineStr">
        <is>
          <t>N/A</t>
        </is>
      </c>
      <c r="Z102" s="3" t="inlineStr"/>
    </row>
    <row r="103">
      <c r="A103" s="3" t="inlineStr"/>
      <c r="B103" s="3" t="inlineStr">
        <is>
          <t>NGS 240482</t>
        </is>
      </c>
      <c r="C103" s="4" t="n">
        <v>45814</v>
      </c>
      <c r="D103" s="3" t="inlineStr">
        <is>
          <t>June- 2025</t>
        </is>
      </c>
      <c r="E103" s="3" t="inlineStr">
        <is>
          <t>Sudharson Narayanan</t>
        </is>
      </c>
      <c r="F103" s="3" t="inlineStr">
        <is>
          <t>Symbiont Life Sciences</t>
        </is>
      </c>
      <c r="G103" s="3" t="inlineStr">
        <is>
          <t>Symbiont Life Sciences</t>
        </is>
      </c>
      <c r="H103" s="3" t="inlineStr">
        <is>
          <t>symbiontcs@gmail.com</t>
        </is>
      </c>
      <c r="I103" s="3" t="inlineStr"/>
      <c r="J103" s="3" t="inlineStr">
        <is>
          <t>Mitochondrial Genome Sequencing &amp; Analysis On Illumina Platforms</t>
        </is>
      </c>
      <c r="K103" s="3" t="inlineStr">
        <is>
          <t>N/A</t>
        </is>
      </c>
      <c r="L103" s="3" t="inlineStr">
        <is>
          <t>With Analysis</t>
        </is>
      </c>
      <c r="M103" s="3" t="n">
        <v>1</v>
      </c>
      <c r="N103" s="3" t="inlineStr">
        <is>
          <t>3 GB/sample</t>
        </is>
      </c>
      <c r="O103" s="3" t="inlineStr">
        <is>
          <t>3</t>
        </is>
      </c>
      <c r="P103" s="3" t="n">
        <v>3</v>
      </c>
      <c r="Q103" s="3" t="n">
        <v>15000</v>
      </c>
      <c r="R103" s="3" t="n">
        <v>15000</v>
      </c>
      <c r="S103" s="3" t="n">
        <v>2700</v>
      </c>
      <c r="T103" s="5" t="n">
        <v>17700</v>
      </c>
      <c r="U103" s="5" t="inlineStr">
        <is>
          <t>UG/NGS/TP/2309855</t>
        </is>
      </c>
      <c r="V103" s="5" t="inlineStr">
        <is>
          <t>QC Fail</t>
        </is>
      </c>
      <c r="W103" s="3" t="inlineStr"/>
      <c r="X103" s="3" t="inlineStr">
        <is>
          <t>N/A</t>
        </is>
      </c>
      <c r="Y103" s="3" t="inlineStr">
        <is>
          <t>N/A</t>
        </is>
      </c>
      <c r="Z103" s="3" t="inlineStr"/>
    </row>
    <row r="104">
      <c r="A104" s="3" t="inlineStr"/>
      <c r="B104" s="3" t="inlineStr">
        <is>
          <t>NGS 240483</t>
        </is>
      </c>
      <c r="C104" s="4" t="n">
        <v>45814</v>
      </c>
      <c r="D104" s="3" t="inlineStr">
        <is>
          <t>June- 2025</t>
        </is>
      </c>
      <c r="E104" s="3" t="inlineStr">
        <is>
          <t>Sudharson Narayanan</t>
        </is>
      </c>
      <c r="F104" s="3" t="inlineStr">
        <is>
          <t>Symbiont Life Sciences</t>
        </is>
      </c>
      <c r="G104" s="3" t="inlineStr">
        <is>
          <t>Symbiont Life Sciences</t>
        </is>
      </c>
      <c r="H104" s="3" t="inlineStr">
        <is>
          <t>symbiontcs@gmail.com</t>
        </is>
      </c>
      <c r="I104" s="3" t="inlineStr"/>
      <c r="J104" s="3" t="inlineStr">
        <is>
          <t>16S Rrna Metagenome V3-V4 Sequencing &amp; Analysis On Illumina Platforms</t>
        </is>
      </c>
      <c r="K104" s="3" t="inlineStr">
        <is>
          <t>N/A</t>
        </is>
      </c>
      <c r="L104" s="3" t="inlineStr">
        <is>
          <t>With Analysis</t>
        </is>
      </c>
      <c r="M104" s="3" t="n">
        <v>10</v>
      </c>
      <c r="N104" s="3" t="inlineStr">
        <is>
          <t>1,00,000 reads/sample</t>
        </is>
      </c>
      <c r="O104" s="3" t="inlineStr"/>
      <c r="P104" s="3" t="n">
        <v>0</v>
      </c>
      <c r="Q104" s="3" t="n">
        <v>6500</v>
      </c>
      <c r="R104" s="3" t="n">
        <v>65000</v>
      </c>
      <c r="S104" s="3" t="n">
        <v>11700</v>
      </c>
      <c r="T104" s="5" t="n">
        <v>76700</v>
      </c>
      <c r="U104" s="5" t="inlineStr">
        <is>
          <t>UG/NGS/TP/2303214R1</t>
        </is>
      </c>
      <c r="V104" s="5" t="inlineStr">
        <is>
          <t>UPL/GEN/178/2526</t>
        </is>
      </c>
      <c r="W104" s="3" t="inlineStr"/>
      <c r="X104" s="3" t="inlineStr">
        <is>
          <t>N/A</t>
        </is>
      </c>
      <c r="Y104" s="3" t="inlineStr">
        <is>
          <t>N/A</t>
        </is>
      </c>
      <c r="Z104" s="3" t="inlineStr"/>
    </row>
    <row r="105">
      <c r="A105" s="3" t="inlineStr"/>
      <c r="B105" s="3" t="inlineStr">
        <is>
          <t>NGS 240484</t>
        </is>
      </c>
      <c r="C105" s="4" t="n">
        <v>45814</v>
      </c>
      <c r="D105" s="3" t="inlineStr">
        <is>
          <t>June- 2025</t>
        </is>
      </c>
      <c r="E105" s="3" t="inlineStr">
        <is>
          <t>Mr. Abhishek Tripathi</t>
        </is>
      </c>
      <c r="F105" s="3" t="inlineStr">
        <is>
          <t>Novelgene Technology Private Limited</t>
        </is>
      </c>
      <c r="G105" s="3" t="inlineStr">
        <is>
          <t>Novelgene Technology Private Limited</t>
        </is>
      </c>
      <c r="H105" s="3" t="inlineStr">
        <is>
          <t>abhishek@novelgenetech.com</t>
        </is>
      </c>
      <c r="I105" s="3" t="inlineStr"/>
      <c r="J105" s="3" t="inlineStr">
        <is>
          <t>Whole Genome Sequencing On Illumina Novaseq X Plus Platform</t>
        </is>
      </c>
      <c r="K105" s="3" t="inlineStr">
        <is>
          <t>N/A</t>
        </is>
      </c>
      <c r="L105" s="3" t="inlineStr">
        <is>
          <t xml:space="preserve">Without Analysis </t>
        </is>
      </c>
      <c r="M105" s="3" t="n">
        <v>2</v>
      </c>
      <c r="N105" s="3" t="inlineStr">
        <is>
          <t>100 GB/sample</t>
        </is>
      </c>
      <c r="O105" s="3" t="inlineStr">
        <is>
          <t>100</t>
        </is>
      </c>
      <c r="P105" s="3" t="n">
        <v>200</v>
      </c>
      <c r="Q105" s="3" t="n">
        <v>53000</v>
      </c>
      <c r="R105" s="3" t="n">
        <v>106000</v>
      </c>
      <c r="S105" s="3" t="n">
        <v>19080</v>
      </c>
      <c r="T105" s="5" t="n">
        <v>125080</v>
      </c>
      <c r="U105" s="5" t="inlineStr">
        <is>
          <t>UG/NGS/TP/2506782</t>
        </is>
      </c>
      <c r="V105" s="5" t="inlineStr">
        <is>
          <t>UPL/GEN/140/2526</t>
        </is>
      </c>
      <c r="W105" s="3" t="inlineStr"/>
      <c r="X105" s="3" t="inlineStr">
        <is>
          <t>N/A</t>
        </is>
      </c>
      <c r="Y105" s="3" t="inlineStr">
        <is>
          <t>N/A</t>
        </is>
      </c>
      <c r="Z105" s="3" t="inlineStr">
        <is>
          <t xml:space="preserve">Yes </t>
        </is>
      </c>
    </row>
    <row r="106">
      <c r="A106" s="3" t="inlineStr"/>
      <c r="B106" s="3" t="inlineStr">
        <is>
          <t>NGS 240485</t>
        </is>
      </c>
      <c r="C106" s="4" t="n">
        <v>45814</v>
      </c>
      <c r="D106" s="3" t="inlineStr">
        <is>
          <t>June- 2025</t>
        </is>
      </c>
      <c r="E106" s="3" t="inlineStr">
        <is>
          <t>Mr. Abhishek Tripathi</t>
        </is>
      </c>
      <c r="F106" s="3" t="inlineStr">
        <is>
          <t>Novelgene Technology Private Limited</t>
        </is>
      </c>
      <c r="G106" s="3" t="inlineStr">
        <is>
          <t>Novelgene Technology Private Limited</t>
        </is>
      </c>
      <c r="H106" s="3" t="inlineStr">
        <is>
          <t>abhishek@novelgenetech.com</t>
        </is>
      </c>
      <c r="I106" s="3" t="inlineStr"/>
      <c r="J106" s="3" t="inlineStr">
        <is>
          <t>Transcriptome Sequencing On Illumina Novaseq X Plus Platform</t>
        </is>
      </c>
      <c r="K106" s="3" t="inlineStr">
        <is>
          <t>N/A</t>
        </is>
      </c>
      <c r="L106" s="3" t="inlineStr">
        <is>
          <t xml:space="preserve">Without Analysis </t>
        </is>
      </c>
      <c r="M106" s="3" t="n">
        <v>6</v>
      </c>
      <c r="N106" s="3" t="inlineStr">
        <is>
          <t>5 GB /Sample</t>
        </is>
      </c>
      <c r="O106" s="3" t="inlineStr">
        <is>
          <t>5</t>
        </is>
      </c>
      <c r="P106" s="3" t="n">
        <v>30</v>
      </c>
      <c r="Q106" s="3" t="n">
        <v>9000</v>
      </c>
      <c r="R106" s="3" t="n">
        <v>54000</v>
      </c>
      <c r="S106" s="3" t="n">
        <v>9720</v>
      </c>
      <c r="T106" s="5" t="n">
        <v>63720</v>
      </c>
      <c r="U106" s="5" t="inlineStr">
        <is>
          <t>UG/NGS/TP/2506783</t>
        </is>
      </c>
      <c r="V106" s="5" t="inlineStr">
        <is>
          <t>UPL/GEN/141/2526</t>
        </is>
      </c>
      <c r="W106" s="3" t="inlineStr"/>
      <c r="X106" s="3" t="inlineStr">
        <is>
          <t>N/A</t>
        </is>
      </c>
      <c r="Y106" s="3" t="inlineStr">
        <is>
          <t>N/A</t>
        </is>
      </c>
      <c r="Z106" s="3" t="inlineStr">
        <is>
          <t xml:space="preserve">Yes </t>
        </is>
      </c>
    </row>
    <row r="107">
      <c r="A107" s="3" t="inlineStr"/>
      <c r="B107" s="3" t="inlineStr">
        <is>
          <t>NGS 240486</t>
        </is>
      </c>
      <c r="C107" s="4" t="n">
        <v>45814</v>
      </c>
      <c r="D107" s="3" t="inlineStr">
        <is>
          <t>June- 2025</t>
        </is>
      </c>
      <c r="E107" s="3" t="inlineStr">
        <is>
          <t>Mr. Abhishek Tripathi</t>
        </is>
      </c>
      <c r="F107" s="3" t="inlineStr">
        <is>
          <t>Novelgene Technology Private Limited</t>
        </is>
      </c>
      <c r="G107" s="3" t="inlineStr">
        <is>
          <t>Novelgene Technology Private Limited</t>
        </is>
      </c>
      <c r="H107" s="3" t="inlineStr">
        <is>
          <t>abhishek@novelgenetech.com</t>
        </is>
      </c>
      <c r="I107" s="3" t="inlineStr"/>
      <c r="J107" s="3" t="inlineStr">
        <is>
          <t>Whole Genome Bisulphite Sequencing On Illumina Novaseq X Plus Platform</t>
        </is>
      </c>
      <c r="K107" s="3" t="inlineStr">
        <is>
          <t>N/A</t>
        </is>
      </c>
      <c r="L107" s="3" t="inlineStr">
        <is>
          <t xml:space="preserve">Without Analysis </t>
        </is>
      </c>
      <c r="M107" s="3" t="n">
        <v>3</v>
      </c>
      <c r="N107" s="3" t="inlineStr">
        <is>
          <t>10 GB/Sample</t>
        </is>
      </c>
      <c r="O107" s="3" t="inlineStr">
        <is>
          <t>10</t>
        </is>
      </c>
      <c r="P107" s="3" t="n">
        <v>30</v>
      </c>
      <c r="Q107" s="3" t="n">
        <v>12000</v>
      </c>
      <c r="R107" s="3" t="n">
        <v>36000</v>
      </c>
      <c r="S107" s="3" t="n">
        <v>6480</v>
      </c>
      <c r="T107" s="5" t="n">
        <v>42480</v>
      </c>
      <c r="U107" s="5" t="inlineStr">
        <is>
          <t>UG/NGS/TP/2505725</t>
        </is>
      </c>
      <c r="V107" s="5" t="inlineStr">
        <is>
          <t>hold this project</t>
        </is>
      </c>
      <c r="W107" s="3" t="inlineStr"/>
      <c r="X107" s="3" t="inlineStr">
        <is>
          <t>N/A</t>
        </is>
      </c>
      <c r="Y107" s="3" t="inlineStr">
        <is>
          <t>N/A</t>
        </is>
      </c>
      <c r="Z107" s="3" t="inlineStr"/>
    </row>
    <row r="108">
      <c r="A108" s="3" t="inlineStr"/>
      <c r="B108" s="3" t="inlineStr">
        <is>
          <t>NGS 240487</t>
        </is>
      </c>
      <c r="C108" s="4" t="n">
        <v>45819</v>
      </c>
      <c r="D108" s="3" t="inlineStr">
        <is>
          <t>June- 2025</t>
        </is>
      </c>
      <c r="E108" s="3" t="inlineStr">
        <is>
          <t>Sudharson Narayanan</t>
        </is>
      </c>
      <c r="F108" s="3" t="inlineStr">
        <is>
          <t>Symbiont Life Sciences</t>
        </is>
      </c>
      <c r="G108" s="3" t="inlineStr">
        <is>
          <t>Symbiont Life Sciences</t>
        </is>
      </c>
      <c r="H108" s="3" t="inlineStr">
        <is>
          <t>symbiontcs@gmail.com</t>
        </is>
      </c>
      <c r="I108" s="3" t="inlineStr"/>
      <c r="J108" s="3" t="inlineStr">
        <is>
          <t>Mitochondrial Genome Sequencing &amp; Analysis On Illumina Platforms</t>
        </is>
      </c>
      <c r="K108" s="3" t="inlineStr">
        <is>
          <t>N/A</t>
        </is>
      </c>
      <c r="L108" s="3" t="inlineStr">
        <is>
          <t>With Analysis</t>
        </is>
      </c>
      <c r="M108" s="3" t="n">
        <v>1</v>
      </c>
      <c r="N108" s="3" t="inlineStr">
        <is>
          <t>3 GB/sample</t>
        </is>
      </c>
      <c r="O108" s="3" t="inlineStr">
        <is>
          <t>3</t>
        </is>
      </c>
      <c r="P108" s="3" t="n">
        <v>3</v>
      </c>
      <c r="Q108" s="3" t="n">
        <v>15000</v>
      </c>
      <c r="R108" s="3" t="n">
        <v>15000</v>
      </c>
      <c r="S108" s="3" t="n">
        <v>2700</v>
      </c>
      <c r="T108" s="5" t="n">
        <v>17700</v>
      </c>
      <c r="U108" s="5" t="inlineStr">
        <is>
          <t>UG/NGS/TP/2309855</t>
        </is>
      </c>
      <c r="V108" s="5" t="inlineStr">
        <is>
          <t>hold this project</t>
        </is>
      </c>
      <c r="W108" s="3" t="inlineStr"/>
      <c r="X108" s="3" t="inlineStr">
        <is>
          <t>N/A</t>
        </is>
      </c>
      <c r="Y108" s="3" t="inlineStr">
        <is>
          <t>N/A</t>
        </is>
      </c>
      <c r="Z108" s="3" t="inlineStr"/>
    </row>
    <row r="109">
      <c r="A109" s="3" t="inlineStr"/>
      <c r="B109" s="3" t="inlineStr">
        <is>
          <t>NGS 240488</t>
        </is>
      </c>
      <c r="C109" s="4" t="n">
        <v>45819</v>
      </c>
      <c r="D109" s="3" t="inlineStr">
        <is>
          <t>June- 2025</t>
        </is>
      </c>
      <c r="E109" s="3" t="inlineStr">
        <is>
          <t>Sudharson Narayanan</t>
        </is>
      </c>
      <c r="F109" s="3" t="inlineStr">
        <is>
          <t>Symbiont Life Sciences</t>
        </is>
      </c>
      <c r="G109" s="3" t="inlineStr">
        <is>
          <t>Symbiont Life Sciences</t>
        </is>
      </c>
      <c r="H109" s="3" t="inlineStr">
        <is>
          <t>symbiontcs@gmail.com</t>
        </is>
      </c>
      <c r="I109" s="3" t="inlineStr"/>
      <c r="J109" s="3" t="inlineStr">
        <is>
          <t>Whole Metagenome Sequencing &amp; Analysis On Illumina Novaseq X Plus Platform</t>
        </is>
      </c>
      <c r="K109" s="3" t="inlineStr">
        <is>
          <t>N/A</t>
        </is>
      </c>
      <c r="L109" s="3" t="inlineStr">
        <is>
          <t>With Analysis</t>
        </is>
      </c>
      <c r="M109" s="3" t="n">
        <v>2</v>
      </c>
      <c r="N109" s="3" t="inlineStr">
        <is>
          <t>3 GB/Sample</t>
        </is>
      </c>
      <c r="O109" s="3" t="inlineStr">
        <is>
          <t>3</t>
        </is>
      </c>
      <c r="P109" s="3" t="n">
        <v>6</v>
      </c>
      <c r="Q109" s="3" t="n">
        <v>10000</v>
      </c>
      <c r="R109" s="3" t="n">
        <v>20000</v>
      </c>
      <c r="S109" s="3" t="n">
        <v>3600</v>
      </c>
      <c r="T109" s="5" t="n">
        <v>23600</v>
      </c>
      <c r="U109" s="5" t="inlineStr">
        <is>
          <t xml:space="preserve">UG/NGS/TP/2501392  </t>
        </is>
      </c>
      <c r="V109" s="5" t="inlineStr">
        <is>
          <t>UPL/GEN/130/2526</t>
        </is>
      </c>
      <c r="W109" s="3" t="inlineStr"/>
      <c r="X109" s="3" t="inlineStr">
        <is>
          <t>N/A</t>
        </is>
      </c>
      <c r="Y109" s="3" t="inlineStr">
        <is>
          <t>N/A</t>
        </is>
      </c>
      <c r="Z109" s="3" t="inlineStr"/>
    </row>
    <row r="110">
      <c r="A110" s="3" t="inlineStr"/>
      <c r="B110" s="3" t="inlineStr">
        <is>
          <t>NGS 240489</t>
        </is>
      </c>
      <c r="C110" s="4" t="n">
        <v>45819</v>
      </c>
      <c r="D110" s="3" t="inlineStr">
        <is>
          <t>June- 2025</t>
        </is>
      </c>
      <c r="E110" s="3" t="inlineStr">
        <is>
          <t>Dr.Poonam Singh</t>
        </is>
      </c>
      <c r="F110" s="3" t="inlineStr">
        <is>
          <t>CSIR-Nbri</t>
        </is>
      </c>
      <c r="G110" s="3" t="inlineStr">
        <is>
          <t>Future Biotech</t>
        </is>
      </c>
      <c r="H110" s="3" t="inlineStr">
        <is>
          <t>futurebiotech50@gmail.com</t>
        </is>
      </c>
      <c r="I110" s="3" t="inlineStr"/>
      <c r="J110" s="3" t="inlineStr">
        <is>
          <t>16S V1-V9 Metagenome Sequencing &amp; Analysis On Illumina Platform</t>
        </is>
      </c>
      <c r="K110" s="3" t="inlineStr">
        <is>
          <t>N/A</t>
        </is>
      </c>
      <c r="L110" s="3" t="inlineStr">
        <is>
          <t>With Analysis</t>
        </is>
      </c>
      <c r="M110" s="3" t="n">
        <v>18</v>
      </c>
      <c r="N110" s="3" t="inlineStr">
        <is>
          <t>60,000-1,00,000 read /sample</t>
        </is>
      </c>
      <c r="O110" s="3" t="inlineStr"/>
      <c r="P110" s="3" t="n">
        <v>0</v>
      </c>
      <c r="Q110" s="3" t="n">
        <v>8500</v>
      </c>
      <c r="R110" s="3" t="n">
        <v>153000</v>
      </c>
      <c r="S110" s="3" t="n">
        <v>27540</v>
      </c>
      <c r="T110" s="5" t="n">
        <v>180540</v>
      </c>
      <c r="U110" s="5" t="inlineStr"/>
      <c r="V110" s="5" t="inlineStr">
        <is>
          <t>UPL/GEN/202/2526</t>
        </is>
      </c>
      <c r="W110" s="3" t="inlineStr"/>
      <c r="X110" s="3" t="inlineStr">
        <is>
          <t>N/A</t>
        </is>
      </c>
      <c r="Y110" s="3" t="inlineStr">
        <is>
          <t>N/A</t>
        </is>
      </c>
      <c r="Z110" s="3" t="inlineStr"/>
    </row>
    <row r="111">
      <c r="A111" s="3" t="inlineStr"/>
      <c r="B111" s="3" t="inlineStr">
        <is>
          <t>NGS 240489</t>
        </is>
      </c>
      <c r="C111" s="4" t="n">
        <v>45819</v>
      </c>
      <c r="D111" s="3" t="inlineStr">
        <is>
          <t>June- 2025</t>
        </is>
      </c>
      <c r="E111" s="3" t="inlineStr">
        <is>
          <t>Dr.Poonam Singh</t>
        </is>
      </c>
      <c r="F111" s="3" t="inlineStr">
        <is>
          <t>CSIR-Nbri</t>
        </is>
      </c>
      <c r="G111" s="3" t="inlineStr">
        <is>
          <t>Future Biotech</t>
        </is>
      </c>
      <c r="H111" s="3" t="inlineStr">
        <is>
          <t>futurebiotech50@gmail.com</t>
        </is>
      </c>
      <c r="I111" s="3" t="inlineStr"/>
      <c r="J111" s="3" t="inlineStr">
        <is>
          <t>16S V1-V9 Metagenome Sequencing &amp; Analysis On Illumina Platform</t>
        </is>
      </c>
      <c r="K111" s="3" t="inlineStr">
        <is>
          <t>N/A</t>
        </is>
      </c>
      <c r="L111" s="3" t="inlineStr">
        <is>
          <t>With Analysis</t>
        </is>
      </c>
      <c r="M111" s="3" t="n">
        <v>1</v>
      </c>
      <c r="N111" s="3" t="inlineStr">
        <is>
          <t>60,000-1,00,000 read /sample</t>
        </is>
      </c>
      <c r="O111" s="3" t="inlineStr"/>
      <c r="P111" s="3" t="n">
        <v>0</v>
      </c>
      <c r="Q111" s="3" t="n">
        <v>8500</v>
      </c>
      <c r="R111" s="3" t="n">
        <v>8500</v>
      </c>
      <c r="S111" s="3" t="n">
        <v>1530</v>
      </c>
      <c r="T111" s="5" t="n">
        <v>10030</v>
      </c>
      <c r="U111" s="5" t="inlineStr"/>
      <c r="V111" s="5" t="inlineStr">
        <is>
          <t>QC Fail</t>
        </is>
      </c>
      <c r="W111" s="3" t="inlineStr"/>
      <c r="X111" s="3" t="inlineStr">
        <is>
          <t>N/A</t>
        </is>
      </c>
      <c r="Y111" s="3" t="inlineStr">
        <is>
          <t>N/A</t>
        </is>
      </c>
      <c r="Z111" s="3" t="inlineStr"/>
    </row>
    <row r="112">
      <c r="A112" s="3" t="inlineStr"/>
      <c r="B112" s="3" t="inlineStr">
        <is>
          <t>NGS 240490</t>
        </is>
      </c>
      <c r="C112" s="4" t="n">
        <v>45822</v>
      </c>
      <c r="D112" s="3" t="inlineStr">
        <is>
          <t>June- 2025</t>
        </is>
      </c>
      <c r="E112" s="3" t="inlineStr">
        <is>
          <t>Dr. Aradhana Mishra</t>
        </is>
      </c>
      <c r="F112" s="3" t="inlineStr">
        <is>
          <t>CSIR-Nbri</t>
        </is>
      </c>
      <c r="G112" s="3" t="inlineStr">
        <is>
          <t>Future Biotech</t>
        </is>
      </c>
      <c r="H112" s="3" t="inlineStr">
        <is>
          <t>mishra.a@nbri.res.in</t>
        </is>
      </c>
      <c r="I112" s="3" t="inlineStr"/>
      <c r="J112" s="3" t="inlineStr">
        <is>
          <t>Whole Metagenome Sequencing &amp; Analysis On Illumina Novaseq X Plus Platform</t>
        </is>
      </c>
      <c r="K112" s="3" t="inlineStr">
        <is>
          <t>N/A</t>
        </is>
      </c>
      <c r="L112" s="3" t="inlineStr">
        <is>
          <t>With Analysis</t>
        </is>
      </c>
      <c r="M112" s="3" t="n">
        <v>5</v>
      </c>
      <c r="N112" s="3" t="inlineStr">
        <is>
          <t>4-5 GB/ sample</t>
        </is>
      </c>
      <c r="O112" s="3" t="inlineStr">
        <is>
          <t>5</t>
        </is>
      </c>
      <c r="P112" s="3" t="n">
        <v>25</v>
      </c>
      <c r="Q112" s="3" t="n">
        <v>10000</v>
      </c>
      <c r="R112" s="3" t="n">
        <v>50000</v>
      </c>
      <c r="S112" s="3" t="n">
        <v>9000</v>
      </c>
      <c r="T112" s="5" t="n">
        <v>59000</v>
      </c>
      <c r="U112" s="5" t="inlineStr">
        <is>
          <t>UG/NGS/TP/2506812</t>
        </is>
      </c>
      <c r="V112" s="5" t="inlineStr">
        <is>
          <t>UPL/GEN/144/2526</t>
        </is>
      </c>
      <c r="W112" s="3" t="inlineStr"/>
      <c r="X112" s="3" t="inlineStr">
        <is>
          <t>N/A</t>
        </is>
      </c>
      <c r="Y112" s="3" t="inlineStr">
        <is>
          <t>N/A</t>
        </is>
      </c>
      <c r="Z112" s="3" t="inlineStr"/>
    </row>
    <row r="113">
      <c r="A113" s="3" t="inlineStr"/>
      <c r="B113" s="3" t="inlineStr">
        <is>
          <t>NGS 240491</t>
        </is>
      </c>
      <c r="C113" s="4" t="n">
        <v>45822</v>
      </c>
      <c r="D113" s="3" t="inlineStr">
        <is>
          <t>June- 2025</t>
        </is>
      </c>
      <c r="E113" s="3" t="inlineStr">
        <is>
          <t>Dr. Nadiya F</t>
        </is>
      </c>
      <c r="F113" s="3" t="inlineStr">
        <is>
          <t>University Of Kerala</t>
        </is>
      </c>
      <c r="G113" s="3" t="inlineStr">
        <is>
          <t>University Of Kerala</t>
        </is>
      </c>
      <c r="H113" s="3" t="inlineStr">
        <is>
          <t>fnadiya2009@gmail.com</t>
        </is>
      </c>
      <c r="I113" s="3" t="inlineStr"/>
      <c r="J113" s="3" t="inlineStr">
        <is>
          <t>Transcriptome Sequencing &amp; Analysis On Illumina Novaseq X Plus Platform</t>
        </is>
      </c>
      <c r="K113" s="3" t="inlineStr">
        <is>
          <t>N/A</t>
        </is>
      </c>
      <c r="L113" s="3" t="inlineStr">
        <is>
          <t>With Analysis</t>
        </is>
      </c>
      <c r="M113" s="3" t="n">
        <v>18</v>
      </c>
      <c r="N113" s="3" t="inlineStr">
        <is>
          <t>6 GB/Sample</t>
        </is>
      </c>
      <c r="O113" s="3" t="inlineStr">
        <is>
          <t>6</t>
        </is>
      </c>
      <c r="P113" s="3" t="n">
        <v>108</v>
      </c>
      <c r="Q113" s="3" t="n">
        <v>15250</v>
      </c>
      <c r="R113" s="3" t="n">
        <v>274500</v>
      </c>
      <c r="S113" s="3" t="n">
        <v>49410</v>
      </c>
      <c r="T113" s="5" t="n">
        <v>323910</v>
      </c>
      <c r="U113" s="5" t="inlineStr">
        <is>
          <t>UG/NGS/TP/2503578</t>
        </is>
      </c>
      <c r="V113" s="5" t="inlineStr">
        <is>
          <t>UPL/GEN/168/2526</t>
        </is>
      </c>
      <c r="W113" s="3" t="inlineStr"/>
      <c r="X113" s="3" t="inlineStr">
        <is>
          <t>N/A</t>
        </is>
      </c>
      <c r="Y113" s="3" t="inlineStr">
        <is>
          <t>N/A</t>
        </is>
      </c>
      <c r="Z113" s="3" t="inlineStr"/>
    </row>
    <row r="114">
      <c r="A114" s="3" t="inlineStr"/>
      <c r="B114" s="3" t="inlineStr">
        <is>
          <t>NGS 240492</t>
        </is>
      </c>
      <c r="C114" s="4" t="n">
        <v>45824</v>
      </c>
      <c r="D114" s="3" t="inlineStr">
        <is>
          <t>June- 2025</t>
        </is>
      </c>
      <c r="E114" s="3" t="inlineStr">
        <is>
          <t>Dr. Sanjay Kumar Dey</t>
        </is>
      </c>
      <c r="F114" s="3" t="inlineStr">
        <is>
          <t>Acbe University Of Delhi</t>
        </is>
      </c>
      <c r="G114" s="3" t="inlineStr">
        <is>
          <t>Acbe University Of Delhi</t>
        </is>
      </c>
      <c r="H114" s="3" t="inlineStr">
        <is>
          <t>sdey@acbr.du.ac.in</t>
        </is>
      </c>
      <c r="I114" s="3" t="inlineStr"/>
      <c r="J114" s="3" t="inlineStr">
        <is>
          <t>Transcriptome Sequencing &amp; Analysis On Illumina Novaseq X Plus Platform</t>
        </is>
      </c>
      <c r="K114" s="3" t="inlineStr">
        <is>
          <t>N/A</t>
        </is>
      </c>
      <c r="L114" s="3" t="inlineStr">
        <is>
          <t>With Analysis</t>
        </is>
      </c>
      <c r="M114" s="3" t="n">
        <v>1</v>
      </c>
      <c r="N114" s="3" t="inlineStr">
        <is>
          <t>6 GB /Sample</t>
        </is>
      </c>
      <c r="O114" s="3" t="inlineStr">
        <is>
          <t>6</t>
        </is>
      </c>
      <c r="P114" s="3" t="n">
        <v>6</v>
      </c>
      <c r="Q114" s="3" t="n">
        <v>16000</v>
      </c>
      <c r="R114" s="3" t="n">
        <v>16000</v>
      </c>
      <c r="S114" s="3" t="n">
        <v>2880</v>
      </c>
      <c r="T114" s="5" t="n">
        <v>18880</v>
      </c>
      <c r="U114" s="5" t="inlineStr">
        <is>
          <t>G/NGS/TP/2505722R2</t>
        </is>
      </c>
      <c r="V114" s="5" t="inlineStr">
        <is>
          <t xml:space="preserve">Done </t>
        </is>
      </c>
      <c r="W114" s="3" t="inlineStr"/>
      <c r="X114" s="3" t="inlineStr">
        <is>
          <t>N/A</t>
        </is>
      </c>
      <c r="Y114" s="3" t="inlineStr">
        <is>
          <t>N/A</t>
        </is>
      </c>
      <c r="Z114" s="3" t="inlineStr"/>
    </row>
    <row r="115">
      <c r="A115" s="3" t="inlineStr"/>
      <c r="B115" s="3" t="inlineStr">
        <is>
          <t>NGS 240493</t>
        </is>
      </c>
      <c r="C115" s="4" t="n">
        <v>45824</v>
      </c>
      <c r="D115" s="3" t="inlineStr">
        <is>
          <t>June- 2025</t>
        </is>
      </c>
      <c r="E115" s="3" t="inlineStr">
        <is>
          <t>Dr. Dau Dayal</t>
        </is>
      </c>
      <c r="F115" s="3" t="inlineStr">
        <is>
          <t>Delhi University</t>
        </is>
      </c>
      <c r="G115" s="3" t="inlineStr">
        <is>
          <t>Delhi University</t>
        </is>
      </c>
      <c r="H115" s="3" t="inlineStr">
        <is>
          <t>daudayal@south.du.ac.in</t>
        </is>
      </c>
      <c r="I115" s="3" t="inlineStr"/>
      <c r="J115" s="3" t="inlineStr">
        <is>
          <t>Whole Genome Sequencing On Illumina Novaseq X Plus Platform</t>
        </is>
      </c>
      <c r="K115" s="3" t="inlineStr">
        <is>
          <t>N/A</t>
        </is>
      </c>
      <c r="L115" s="3" t="inlineStr">
        <is>
          <t xml:space="preserve">Without Analysis </t>
        </is>
      </c>
      <c r="M115" s="3" t="n">
        <v>12</v>
      </c>
      <c r="N115" s="3" t="inlineStr">
        <is>
          <t>10 GB/sample</t>
        </is>
      </c>
      <c r="O115" s="3" t="inlineStr">
        <is>
          <t>10</t>
        </is>
      </c>
      <c r="P115" s="3" t="n">
        <v>120</v>
      </c>
      <c r="Q115" s="3" t="n">
        <v>10000</v>
      </c>
      <c r="R115" s="3" t="n">
        <v>120000</v>
      </c>
      <c r="S115" s="3" t="n">
        <v>21600</v>
      </c>
      <c r="T115" s="5" t="n">
        <v>141600</v>
      </c>
      <c r="U115" s="5" t="inlineStr">
        <is>
          <t>UG/NGS/TP/2505730</t>
        </is>
      </c>
      <c r="V115" s="5" t="inlineStr">
        <is>
          <t>UPL/GEN/117/2526</t>
        </is>
      </c>
      <c r="W115" s="3" t="inlineStr"/>
      <c r="X115" s="3" t="inlineStr">
        <is>
          <t>N/A</t>
        </is>
      </c>
      <c r="Y115" s="3" t="inlineStr">
        <is>
          <t>N/A</t>
        </is>
      </c>
      <c r="Z115" s="3" t="inlineStr">
        <is>
          <t xml:space="preserve">Yes </t>
        </is>
      </c>
    </row>
    <row r="116">
      <c r="A116" s="3" t="inlineStr"/>
      <c r="B116" s="3" t="inlineStr">
        <is>
          <t>NGS 240494</t>
        </is>
      </c>
      <c r="C116" s="4" t="n">
        <v>45825</v>
      </c>
      <c r="D116" s="3" t="inlineStr">
        <is>
          <t>June- 2025</t>
        </is>
      </c>
      <c r="E116" s="3" t="inlineStr">
        <is>
          <t>Mr.Priyank Mehta</t>
        </is>
      </c>
      <c r="F116" s="3" t="inlineStr">
        <is>
          <t>Suzuki R&amp;D Center</t>
        </is>
      </c>
      <c r="G116" s="3" t="inlineStr">
        <is>
          <t>Suzuki R&amp;D Center</t>
        </is>
      </c>
      <c r="H116" s="3" t="inlineStr">
        <is>
          <t>Priyank.Mehta@suzukirndindia.com</t>
        </is>
      </c>
      <c r="I116" s="3" t="inlineStr"/>
      <c r="J116" s="3" t="inlineStr">
        <is>
          <t>16S V3-V4 Metagenome Sequencing &amp; Analysis On Illumina Platform</t>
        </is>
      </c>
      <c r="K116" s="3" t="inlineStr">
        <is>
          <t>N/A</t>
        </is>
      </c>
      <c r="L116" s="3" t="inlineStr">
        <is>
          <t>With Analysis</t>
        </is>
      </c>
      <c r="M116" s="3" t="n">
        <v>12</v>
      </c>
      <c r="N116" s="3" t="inlineStr">
        <is>
          <t>60,000-1,00,000 reads/sample</t>
        </is>
      </c>
      <c r="O116" s="3" t="inlineStr"/>
      <c r="P116" s="3" t="n">
        <v>0</v>
      </c>
      <c r="Q116" s="3" t="n">
        <v>8000</v>
      </c>
      <c r="R116" s="3" t="n">
        <v>96000</v>
      </c>
      <c r="S116" s="3" t="n">
        <v>17280</v>
      </c>
      <c r="T116" s="5" t="n">
        <v>113280</v>
      </c>
      <c r="U116" s="5" t="inlineStr">
        <is>
          <t>UG/NGS/TP/2504670</t>
        </is>
      </c>
      <c r="V116" s="5" t="inlineStr">
        <is>
          <t>UPL/GEN/172/2526</t>
        </is>
      </c>
      <c r="W116" s="3" t="inlineStr"/>
      <c r="X116" s="3" t="inlineStr">
        <is>
          <t>N/A</t>
        </is>
      </c>
      <c r="Y116" s="3" t="inlineStr">
        <is>
          <t>N/A</t>
        </is>
      </c>
      <c r="Z116" s="3" t="inlineStr"/>
    </row>
    <row r="117">
      <c r="A117" s="3" t="inlineStr"/>
      <c r="B117" s="3" t="inlineStr">
        <is>
          <t>NGS 240495</t>
        </is>
      </c>
      <c r="C117" s="4" t="n">
        <v>45825</v>
      </c>
      <c r="D117" s="3" t="inlineStr">
        <is>
          <t>June- 2025</t>
        </is>
      </c>
      <c r="E117" s="3" t="inlineStr">
        <is>
          <t>Neha Nitesh Hatwar</t>
        </is>
      </c>
      <c r="F117" s="3" t="inlineStr">
        <is>
          <t>CSIR-Neeri, Nagpur</t>
        </is>
      </c>
      <c r="G117" s="3" t="inlineStr">
        <is>
          <t>CSIR-Neeri, Nagpur</t>
        </is>
      </c>
      <c r="H117" s="3" t="inlineStr">
        <is>
          <t>hatwarneha03@gmail.com</t>
        </is>
      </c>
      <c r="I117" s="3" t="inlineStr"/>
      <c r="J117" s="3" t="inlineStr">
        <is>
          <t>Whole Genome Sequencing &amp; Analysis On Illumina Novaseq X Plus Platform</t>
        </is>
      </c>
      <c r="K117" s="3" t="inlineStr">
        <is>
          <t>N/A</t>
        </is>
      </c>
      <c r="L117" s="3" t="inlineStr">
        <is>
          <t>With Analysis</t>
        </is>
      </c>
      <c r="M117" s="3" t="n">
        <v>5</v>
      </c>
      <c r="N117" s="3" t="inlineStr">
        <is>
          <t>1 GB/sample</t>
        </is>
      </c>
      <c r="O117" s="3" t="inlineStr">
        <is>
          <t>1</t>
        </is>
      </c>
      <c r="P117" s="3" t="n">
        <v>5</v>
      </c>
      <c r="Q117" s="3" t="n">
        <v>4000</v>
      </c>
      <c r="R117" s="3" t="n">
        <v>20000</v>
      </c>
      <c r="S117" s="3" t="n">
        <v>3600</v>
      </c>
      <c r="T117" s="5" t="n">
        <v>23600</v>
      </c>
      <c r="U117" s="5" t="inlineStr"/>
      <c r="V117" s="5" t="inlineStr">
        <is>
          <t xml:space="preserve">Done </t>
        </is>
      </c>
      <c r="W117" s="3" t="inlineStr"/>
      <c r="X117" s="3" t="inlineStr">
        <is>
          <t>N/A</t>
        </is>
      </c>
      <c r="Y117" s="3" t="inlineStr">
        <is>
          <t>N/A</t>
        </is>
      </c>
      <c r="Z117" s="3" t="inlineStr"/>
    </row>
    <row r="118">
      <c r="A118" s="3" t="inlineStr"/>
      <c r="B118" s="3" t="inlineStr">
        <is>
          <t>NGS 240496</t>
        </is>
      </c>
      <c r="C118" s="4" t="n">
        <v>45827</v>
      </c>
      <c r="D118" s="3" t="inlineStr">
        <is>
          <t>June- 2025</t>
        </is>
      </c>
      <c r="E118" s="3" t="inlineStr">
        <is>
          <t>Dr.Anu Yamuna Joseph</t>
        </is>
      </c>
      <c r="F118" s="3" t="inlineStr">
        <is>
          <t>Primordia Lifesciences</t>
        </is>
      </c>
      <c r="G118" s="3" t="inlineStr">
        <is>
          <t>Primordia Lifesciences</t>
        </is>
      </c>
      <c r="H118" s="3" t="inlineStr">
        <is>
          <t>primordialifesciences@gmail.com</t>
        </is>
      </c>
      <c r="I118" s="3" t="inlineStr"/>
      <c r="J118" s="3" t="inlineStr">
        <is>
          <t>16S V3-V4 Metagenome Sequencing &amp; Analysis On Illumina Platform</t>
        </is>
      </c>
      <c r="K118" s="3" t="inlineStr">
        <is>
          <t>N/A</t>
        </is>
      </c>
      <c r="L118" s="3" t="inlineStr">
        <is>
          <t>With Analysis</t>
        </is>
      </c>
      <c r="M118" s="3" t="n">
        <v>1</v>
      </c>
      <c r="N118" s="3" t="inlineStr">
        <is>
          <t>0.1 M reads/sample</t>
        </is>
      </c>
      <c r="O118" s="3" t="inlineStr"/>
      <c r="P118" s="3" t="n">
        <v>0</v>
      </c>
      <c r="Q118" s="3" t="n">
        <v>7500</v>
      </c>
      <c r="R118" s="3" t="n">
        <v>7500</v>
      </c>
      <c r="S118" s="3" t="n">
        <v>1350</v>
      </c>
      <c r="T118" s="5" t="n">
        <v>8850</v>
      </c>
      <c r="U118" s="5" t="inlineStr">
        <is>
          <t>UG/NGS/TP/2505742R1</t>
        </is>
      </c>
      <c r="V118" s="5" t="inlineStr">
        <is>
          <t xml:space="preserve">Done </t>
        </is>
      </c>
      <c r="W118" s="3" t="inlineStr"/>
      <c r="X118" s="3" t="inlineStr">
        <is>
          <t>N/A</t>
        </is>
      </c>
      <c r="Y118" s="3" t="inlineStr">
        <is>
          <t>N/A</t>
        </is>
      </c>
      <c r="Z118" s="3" t="inlineStr"/>
    </row>
    <row r="119">
      <c r="A119" s="3" t="inlineStr"/>
      <c r="B119" s="3" t="inlineStr">
        <is>
          <t>NGS 240497</t>
        </is>
      </c>
      <c r="C119" s="4" t="n">
        <v>45827</v>
      </c>
      <c r="D119" s="3" t="inlineStr">
        <is>
          <t>June- 2025</t>
        </is>
      </c>
      <c r="E119" s="3" t="inlineStr">
        <is>
          <t>Dr.Anu Yamuna Joseph</t>
        </is>
      </c>
      <c r="F119" s="3" t="inlineStr">
        <is>
          <t>Primordia Lifesciences</t>
        </is>
      </c>
      <c r="G119" s="3" t="inlineStr">
        <is>
          <t>Primordia Lifesciences</t>
        </is>
      </c>
      <c r="H119" s="3" t="inlineStr">
        <is>
          <t>primordialifesciences@gmail.com</t>
        </is>
      </c>
      <c r="I119" s="3" t="inlineStr"/>
      <c r="J119" s="3" t="inlineStr">
        <is>
          <t>18S Metagenome Sequencing &amp; Analysis On Illumina Platform</t>
        </is>
      </c>
      <c r="K119" s="3" t="inlineStr">
        <is>
          <t>N/A</t>
        </is>
      </c>
      <c r="L119" s="3" t="inlineStr">
        <is>
          <t>With Analysis</t>
        </is>
      </c>
      <c r="M119" s="3" t="n">
        <v>1</v>
      </c>
      <c r="N119" s="3" t="inlineStr">
        <is>
          <t>0.1 M reads/sample</t>
        </is>
      </c>
      <c r="O119" s="3" t="inlineStr"/>
      <c r="P119" s="3" t="n">
        <v>0</v>
      </c>
      <c r="Q119" s="3" t="n">
        <v>10000</v>
      </c>
      <c r="R119" s="3" t="n">
        <v>10000</v>
      </c>
      <c r="S119" s="3" t="n">
        <v>1800</v>
      </c>
      <c r="T119" s="5" t="n">
        <v>11800</v>
      </c>
      <c r="U119" s="5" t="inlineStr">
        <is>
          <t>UG/NGS/TP/2505743</t>
        </is>
      </c>
      <c r="V119" s="5" t="inlineStr">
        <is>
          <t xml:space="preserve">Done </t>
        </is>
      </c>
      <c r="W119" s="3" t="inlineStr"/>
      <c r="X119" s="3" t="inlineStr">
        <is>
          <t>N/A</t>
        </is>
      </c>
      <c r="Y119" s="3" t="inlineStr">
        <is>
          <t>N/A</t>
        </is>
      </c>
      <c r="Z119" s="3" t="inlineStr"/>
    </row>
    <row r="120">
      <c r="A120" s="3" t="inlineStr"/>
      <c r="B120" s="3" t="inlineStr">
        <is>
          <t>NGS 240498</t>
        </is>
      </c>
      <c r="C120" s="4" t="n">
        <v>45827</v>
      </c>
      <c r="D120" s="3" t="inlineStr">
        <is>
          <t>June- 2025</t>
        </is>
      </c>
      <c r="E120" s="3" t="inlineStr">
        <is>
          <t>Sudharson Narayanan</t>
        </is>
      </c>
      <c r="F120" s="3" t="inlineStr">
        <is>
          <t>Symbiont Life Sciences</t>
        </is>
      </c>
      <c r="G120" s="3" t="inlineStr">
        <is>
          <t>Symbiont Life Sciences</t>
        </is>
      </c>
      <c r="H120" s="3" t="inlineStr">
        <is>
          <t>symbiontcs@gmail.com</t>
        </is>
      </c>
      <c r="I120" s="3" t="inlineStr"/>
      <c r="J120" s="3" t="inlineStr">
        <is>
          <t>Whole Genome Sequencing &amp; Analysis On Illumina Platforms</t>
        </is>
      </c>
      <c r="K120" s="3" t="inlineStr">
        <is>
          <t>N/A</t>
        </is>
      </c>
      <c r="L120" s="3" t="inlineStr">
        <is>
          <t>With Analysis</t>
        </is>
      </c>
      <c r="M120" s="3" t="n">
        <v>3</v>
      </c>
      <c r="N120" s="3" t="inlineStr">
        <is>
          <t>45 GB/Sample</t>
        </is>
      </c>
      <c r="O120" s="3" t="inlineStr">
        <is>
          <t>45</t>
        </is>
      </c>
      <c r="P120" s="3" t="n">
        <v>135</v>
      </c>
      <c r="Q120" s="3" t="n">
        <v>39000</v>
      </c>
      <c r="R120" s="3" t="n">
        <v>117000</v>
      </c>
      <c r="S120" s="3" t="n">
        <v>21060</v>
      </c>
      <c r="T120" s="5" t="n">
        <v>138060</v>
      </c>
      <c r="U120" s="5" t="inlineStr">
        <is>
          <t>UG/NGS/TP/2406821</t>
        </is>
      </c>
      <c r="V120" s="5" t="inlineStr">
        <is>
          <t>UPL/GEN/275/2526</t>
        </is>
      </c>
      <c r="W120" s="3" t="inlineStr"/>
      <c r="X120" s="3" t="inlineStr">
        <is>
          <t>N/A</t>
        </is>
      </c>
      <c r="Y120" s="3" t="inlineStr">
        <is>
          <t>N/A</t>
        </is>
      </c>
      <c r="Z120" s="3" t="inlineStr"/>
    </row>
    <row r="121">
      <c r="A121" s="3" t="inlineStr"/>
      <c r="B121" s="3" t="inlineStr">
        <is>
          <t>NGS 240498</t>
        </is>
      </c>
      <c r="C121" s="4" t="n">
        <v>45827</v>
      </c>
      <c r="D121" s="3" t="inlineStr">
        <is>
          <t>June- 2025</t>
        </is>
      </c>
      <c r="E121" s="3" t="inlineStr">
        <is>
          <t>Sudharson Narayanan</t>
        </is>
      </c>
      <c r="F121" s="3" t="inlineStr">
        <is>
          <t>Symbiont Life Sciences</t>
        </is>
      </c>
      <c r="G121" s="3" t="inlineStr">
        <is>
          <t>Symbiont Life Sciences</t>
        </is>
      </c>
      <c r="H121" s="3" t="inlineStr">
        <is>
          <t>symbiontcs@gmail.com</t>
        </is>
      </c>
      <c r="I121" s="3" t="inlineStr"/>
      <c r="J121" s="3" t="inlineStr">
        <is>
          <t>Whole Genome Sequencing &amp; Analysis On Illumina Platforms</t>
        </is>
      </c>
      <c r="K121" s="3" t="inlineStr">
        <is>
          <t>N/A</t>
        </is>
      </c>
      <c r="L121" s="3" t="inlineStr">
        <is>
          <t>With Analysis</t>
        </is>
      </c>
      <c r="M121" s="3" t="n">
        <v>1</v>
      </c>
      <c r="N121" s="3" t="inlineStr">
        <is>
          <t>45 GB/Sample</t>
        </is>
      </c>
      <c r="O121" s="3" t="inlineStr">
        <is>
          <t>45</t>
        </is>
      </c>
      <c r="P121" s="3" t="n">
        <v>45</v>
      </c>
      <c r="Q121" s="3" t="n">
        <v>39000</v>
      </c>
      <c r="R121" s="3" t="n">
        <v>39000</v>
      </c>
      <c r="S121" s="3" t="n">
        <v>7020</v>
      </c>
      <c r="T121" s="5" t="n">
        <v>46020</v>
      </c>
      <c r="U121" s="5" t="inlineStr">
        <is>
          <t>UG/NGS/TP/2406821</t>
        </is>
      </c>
      <c r="V121" s="5" t="inlineStr">
        <is>
          <t>QC Fail</t>
        </is>
      </c>
      <c r="W121" s="3" t="inlineStr"/>
      <c r="X121" s="3" t="inlineStr">
        <is>
          <t>N/A</t>
        </is>
      </c>
      <c r="Y121" s="3" t="inlineStr">
        <is>
          <t>N/A</t>
        </is>
      </c>
      <c r="Z121" s="3" t="inlineStr"/>
    </row>
    <row r="122">
      <c r="A122" s="3" t="inlineStr"/>
      <c r="B122" s="3" t="inlineStr">
        <is>
          <t>NGS 240499</t>
        </is>
      </c>
      <c r="C122" s="4" t="n">
        <v>45827</v>
      </c>
      <c r="D122" s="3" t="inlineStr">
        <is>
          <t>June- 2025</t>
        </is>
      </c>
      <c r="E122" s="3" t="inlineStr">
        <is>
          <t>Sudharson Narayanan</t>
        </is>
      </c>
      <c r="F122" s="3" t="inlineStr">
        <is>
          <t>Symbiont Life Sciences</t>
        </is>
      </c>
      <c r="G122" s="3" t="inlineStr">
        <is>
          <t>Symbiont Life Sciences</t>
        </is>
      </c>
      <c r="H122" s="3" t="inlineStr">
        <is>
          <t>symbiontcs@gmail.com</t>
        </is>
      </c>
      <c r="I122" s="3" t="inlineStr"/>
      <c r="J122" s="3" t="inlineStr">
        <is>
          <t>Mitochondrial Genome Sequencing &amp; Analysis On Illumina Platforms</t>
        </is>
      </c>
      <c r="K122" s="3" t="inlineStr">
        <is>
          <t>N/A</t>
        </is>
      </c>
      <c r="L122" s="3" t="inlineStr">
        <is>
          <t>With Analysis</t>
        </is>
      </c>
      <c r="M122" s="3" t="n">
        <v>1</v>
      </c>
      <c r="N122" s="3" t="inlineStr">
        <is>
          <t>3 GB/sample</t>
        </is>
      </c>
      <c r="O122" s="3" t="inlineStr">
        <is>
          <t>3</t>
        </is>
      </c>
      <c r="P122" s="3" t="n">
        <v>3</v>
      </c>
      <c r="Q122" s="3" t="n">
        <v>15000</v>
      </c>
      <c r="R122" s="3" t="n">
        <v>15000</v>
      </c>
      <c r="S122" s="3" t="n">
        <v>2700</v>
      </c>
      <c r="T122" s="5" t="n">
        <v>17700</v>
      </c>
      <c r="U122" s="5" t="inlineStr">
        <is>
          <t>UG/NGS/TP/2309855</t>
        </is>
      </c>
      <c r="V122" s="5" t="inlineStr">
        <is>
          <t>UPL/GEN/179/2526</t>
        </is>
      </c>
      <c r="W122" s="3" t="inlineStr"/>
      <c r="X122" s="3" t="inlineStr">
        <is>
          <t>N/A</t>
        </is>
      </c>
      <c r="Y122" s="3" t="inlineStr">
        <is>
          <t>N/A</t>
        </is>
      </c>
      <c r="Z122" s="3" t="inlineStr"/>
    </row>
    <row r="123">
      <c r="A123" s="3" t="inlineStr"/>
      <c r="B123" s="3" t="inlineStr">
        <is>
          <t>NGS 240500</t>
        </is>
      </c>
      <c r="C123" s="4" t="n">
        <v>45828</v>
      </c>
      <c r="D123" s="3" t="inlineStr">
        <is>
          <t>June- 2025</t>
        </is>
      </c>
      <c r="E123" s="3" t="inlineStr">
        <is>
          <t>Dr. Radhakrishnan</t>
        </is>
      </c>
      <c r="F123" s="3" t="inlineStr">
        <is>
          <t>Sathyabama University</t>
        </is>
      </c>
      <c r="G123" s="3" t="inlineStr">
        <is>
          <t>Discovery Scientifics</t>
        </is>
      </c>
      <c r="H123" s="3" t="inlineStr">
        <is>
          <t>jyothi.lifescience@gmail.com</t>
        </is>
      </c>
      <c r="I123" s="3" t="inlineStr"/>
      <c r="J123" s="3" t="inlineStr">
        <is>
          <t>Bacterial Whole Genome Sequencing &amp; Analysis On Illumina Platforms</t>
        </is>
      </c>
      <c r="K123" s="3" t="inlineStr">
        <is>
          <t>N/A</t>
        </is>
      </c>
      <c r="L123" s="3" t="inlineStr">
        <is>
          <t>With Analysis</t>
        </is>
      </c>
      <c r="M123" s="3" t="n">
        <v>1</v>
      </c>
      <c r="N123" s="3" t="inlineStr">
        <is>
          <t>0.5 GB/sample</t>
        </is>
      </c>
      <c r="O123" s="3" t="inlineStr">
        <is>
          <t>0.5</t>
        </is>
      </c>
      <c r="P123" s="3" t="n">
        <v>0.5</v>
      </c>
      <c r="Q123" s="3" t="n">
        <v>10000</v>
      </c>
      <c r="R123" s="3" t="n">
        <v>10000</v>
      </c>
      <c r="S123" s="3" t="n">
        <v>1800</v>
      </c>
      <c r="T123" s="5" t="n">
        <v>11800</v>
      </c>
      <c r="U123" s="5" t="inlineStr">
        <is>
          <t>UG/NGS/TP/2403529</t>
        </is>
      </c>
      <c r="V123" s="5" t="inlineStr">
        <is>
          <t>UPL/GEN/294/2526</t>
        </is>
      </c>
      <c r="W123" s="3" t="inlineStr"/>
      <c r="X123" s="3" t="inlineStr">
        <is>
          <t>N/A</t>
        </is>
      </c>
      <c r="Y123" s="3" t="inlineStr">
        <is>
          <t>N/A</t>
        </is>
      </c>
      <c r="Z123" s="3" t="inlineStr"/>
    </row>
    <row r="124">
      <c r="A124" s="3" t="inlineStr"/>
      <c r="B124" s="3" t="inlineStr">
        <is>
          <t>NGS 240501</t>
        </is>
      </c>
      <c r="C124" s="4" t="n">
        <v>45828</v>
      </c>
      <c r="D124" s="3" t="inlineStr">
        <is>
          <t>June- 2025</t>
        </is>
      </c>
      <c r="E124" s="3" t="inlineStr">
        <is>
          <t>Sudharson Narayanan</t>
        </is>
      </c>
      <c r="F124" s="3" t="inlineStr">
        <is>
          <t>Symbiont Life Sciences</t>
        </is>
      </c>
      <c r="G124" s="3" t="inlineStr">
        <is>
          <t>Symbiont Life Sciences</t>
        </is>
      </c>
      <c r="H124" s="3" t="inlineStr">
        <is>
          <t>symbiontcs@gmail.com</t>
        </is>
      </c>
      <c r="I124" s="3" t="inlineStr"/>
      <c r="J124" s="3" t="inlineStr">
        <is>
          <t>Mitochondrial Genome Sequencing &amp; Analysis On Illumina Platforms</t>
        </is>
      </c>
      <c r="K124" s="3" t="inlineStr">
        <is>
          <t>N/A</t>
        </is>
      </c>
      <c r="L124" s="3" t="inlineStr">
        <is>
          <t>With Analysis</t>
        </is>
      </c>
      <c r="M124" s="3" t="n">
        <v>1</v>
      </c>
      <c r="N124" s="3" t="inlineStr">
        <is>
          <t>3 GB/sample</t>
        </is>
      </c>
      <c r="O124" s="3" t="inlineStr">
        <is>
          <t>3</t>
        </is>
      </c>
      <c r="P124" s="3" t="n">
        <v>3</v>
      </c>
      <c r="Q124" s="3" t="n">
        <v>15000</v>
      </c>
      <c r="R124" s="3" t="n">
        <v>15000</v>
      </c>
      <c r="S124" s="3" t="n">
        <v>2700</v>
      </c>
      <c r="T124" s="5" t="n">
        <v>17700</v>
      </c>
      <c r="U124" s="5" t="inlineStr">
        <is>
          <t>UG/NGS/TP/2309855</t>
        </is>
      </c>
      <c r="V124" s="5" t="inlineStr">
        <is>
          <t xml:space="preserve">Done </t>
        </is>
      </c>
      <c r="W124" s="3" t="inlineStr"/>
      <c r="X124" s="3" t="inlineStr">
        <is>
          <t>N/A</t>
        </is>
      </c>
      <c r="Y124" s="3" t="inlineStr">
        <is>
          <t>N/A</t>
        </is>
      </c>
      <c r="Z124" s="3" t="inlineStr"/>
    </row>
    <row r="125">
      <c r="A125" s="3" t="inlineStr"/>
      <c r="B125" s="3" t="inlineStr">
        <is>
          <t>NGS 240502</t>
        </is>
      </c>
      <c r="C125" s="4" t="n">
        <v>45828</v>
      </c>
      <c r="D125" s="3" t="inlineStr">
        <is>
          <t>June- 2025</t>
        </is>
      </c>
      <c r="E125" s="3" t="inlineStr">
        <is>
          <t>Mr.Priyank Mehta</t>
        </is>
      </c>
      <c r="F125" s="3" t="inlineStr">
        <is>
          <t>Suzuki R&amp;D Center</t>
        </is>
      </c>
      <c r="G125" s="3" t="inlineStr">
        <is>
          <t>Suzuki R&amp;D Center</t>
        </is>
      </c>
      <c r="H125" s="3" t="inlineStr">
        <is>
          <t>symbiontcs@gmail.com</t>
        </is>
      </c>
      <c r="I125" s="3" t="inlineStr"/>
      <c r="J125" s="3" t="inlineStr">
        <is>
          <t>16S V3-V4 Metagenome Sequencing &amp; Analysis On Illumina Platform</t>
        </is>
      </c>
      <c r="K125" s="3" t="inlineStr">
        <is>
          <t>N/A</t>
        </is>
      </c>
      <c r="L125" s="3" t="inlineStr">
        <is>
          <t xml:space="preserve">With Analysis </t>
        </is>
      </c>
      <c r="M125" s="3" t="n">
        <v>4</v>
      </c>
      <c r="N125" s="3" t="inlineStr">
        <is>
          <t>60,000-1,00,000 reads/sample</t>
        </is>
      </c>
      <c r="O125" s="3" t="inlineStr"/>
      <c r="P125" s="3" t="n">
        <v>0</v>
      </c>
      <c r="Q125" s="3" t="n">
        <v>8000</v>
      </c>
      <c r="R125" s="3" t="n">
        <v>32000</v>
      </c>
      <c r="S125" s="3" t="n">
        <v>5760</v>
      </c>
      <c r="T125" s="5" t="n">
        <v>37760</v>
      </c>
      <c r="U125" s="5" t="inlineStr">
        <is>
          <t>UG/NGS/TP/2504670</t>
        </is>
      </c>
      <c r="V125" s="5" t="inlineStr">
        <is>
          <t>UPL/GEN/173/2526</t>
        </is>
      </c>
      <c r="W125" s="3" t="inlineStr"/>
      <c r="X125" s="3" t="inlineStr">
        <is>
          <t>N/A</t>
        </is>
      </c>
      <c r="Y125" s="3" t="inlineStr">
        <is>
          <t>N/A</t>
        </is>
      </c>
      <c r="Z125" s="3" t="inlineStr"/>
    </row>
    <row r="126">
      <c r="A126" s="3" t="inlineStr"/>
      <c r="B126" s="3" t="inlineStr">
        <is>
          <t>NGS 240503</t>
        </is>
      </c>
      <c r="C126" s="4" t="n">
        <v>45828</v>
      </c>
      <c r="D126" s="3" t="inlineStr">
        <is>
          <t>June- 2025</t>
        </is>
      </c>
      <c r="E126" s="3" t="inlineStr">
        <is>
          <t>Dr.Niraj Rai</t>
        </is>
      </c>
      <c r="F126" s="3" t="inlineStr">
        <is>
          <t>Bsip Lucknow</t>
        </is>
      </c>
      <c r="G126" s="3" t="inlineStr">
        <is>
          <t>Nature Scientific</t>
        </is>
      </c>
      <c r="H126" s="3" t="inlineStr">
        <is>
          <t>Nscientific18@gmail.com</t>
        </is>
      </c>
      <c r="I126" s="3" t="inlineStr"/>
      <c r="J126" s="3" t="inlineStr">
        <is>
          <t>Lane Sequencing On Illumina Novaseq X Plus Platform</t>
        </is>
      </c>
      <c r="K126" s="3" t="inlineStr">
        <is>
          <t>N/A</t>
        </is>
      </c>
      <c r="L126" s="3" t="inlineStr">
        <is>
          <t xml:space="preserve">Without Analysis </t>
        </is>
      </c>
      <c r="M126" s="3" t="n">
        <v>0</v>
      </c>
      <c r="N126" s="3" t="inlineStr"/>
      <c r="O126" s="3" t="inlineStr"/>
      <c r="P126" s="3" t="n">
        <v>0</v>
      </c>
      <c r="Q126" s="3" t="n">
        <v>480</v>
      </c>
      <c r="R126" s="3" t="n">
        <v>168000</v>
      </c>
      <c r="S126" s="3" t="n">
        <v>30240</v>
      </c>
      <c r="T126" s="5" t="n">
        <v>198240</v>
      </c>
      <c r="U126" s="5" t="inlineStr"/>
      <c r="V126" s="5" t="inlineStr">
        <is>
          <t xml:space="preserve">Done </t>
        </is>
      </c>
      <c r="W126" s="3" t="inlineStr"/>
      <c r="X126" s="3" t="inlineStr">
        <is>
          <t>N/A</t>
        </is>
      </c>
      <c r="Y126" s="3" t="inlineStr">
        <is>
          <t>N/A</t>
        </is>
      </c>
      <c r="Z126" s="3" t="inlineStr">
        <is>
          <t xml:space="preserve">Yes </t>
        </is>
      </c>
    </row>
    <row r="127">
      <c r="A127" s="3" t="inlineStr"/>
      <c r="B127" s="3" t="inlineStr">
        <is>
          <t>NGS 240503</t>
        </is>
      </c>
      <c r="C127" s="4" t="n">
        <v>45828</v>
      </c>
      <c r="D127" s="3" t="inlineStr">
        <is>
          <t>June- 2025</t>
        </is>
      </c>
      <c r="E127" s="3" t="inlineStr">
        <is>
          <t>Dr.Niraj Rai</t>
        </is>
      </c>
      <c r="F127" s="3" t="inlineStr">
        <is>
          <t>Bsip Lucknow</t>
        </is>
      </c>
      <c r="G127" s="3" t="inlineStr">
        <is>
          <t>Nature Scientific</t>
        </is>
      </c>
      <c r="H127" s="3" t="inlineStr">
        <is>
          <t>Nscientific18@gmail.com</t>
        </is>
      </c>
      <c r="I127" s="3" t="inlineStr"/>
      <c r="J127" s="3" t="inlineStr">
        <is>
          <t>DNA Library Qc</t>
        </is>
      </c>
      <c r="K127" s="3" t="inlineStr">
        <is>
          <t>N/A</t>
        </is>
      </c>
      <c r="L127" s="3" t="inlineStr">
        <is>
          <t xml:space="preserve">Without Analysis </t>
        </is>
      </c>
      <c r="M127" s="3" t="n">
        <v>35</v>
      </c>
      <c r="N127" s="3" t="inlineStr"/>
      <c r="O127" s="3" t="inlineStr"/>
      <c r="P127" s="3" t="n">
        <v>0</v>
      </c>
      <c r="Q127" s="3" t="n">
        <v>2500</v>
      </c>
      <c r="R127" s="3" t="n">
        <v>87500</v>
      </c>
      <c r="S127" s="3" t="n">
        <v>15750</v>
      </c>
      <c r="T127" s="5" t="n">
        <v>103250</v>
      </c>
      <c r="U127" s="5" t="inlineStr"/>
      <c r="V127" s="5" t="inlineStr">
        <is>
          <t xml:space="preserve">Done </t>
        </is>
      </c>
      <c r="W127" s="3" t="inlineStr"/>
      <c r="X127" s="3" t="inlineStr">
        <is>
          <t>N/A</t>
        </is>
      </c>
      <c r="Y127" s="3" t="inlineStr">
        <is>
          <t>N/A</t>
        </is>
      </c>
      <c r="Z127" s="3" t="inlineStr">
        <is>
          <t xml:space="preserve">Yes </t>
        </is>
      </c>
    </row>
    <row r="128">
      <c r="A128" s="3" t="inlineStr"/>
      <c r="B128" s="3" t="inlineStr">
        <is>
          <t>NGS 240504</t>
        </is>
      </c>
      <c r="C128" s="4" t="n">
        <v>45828</v>
      </c>
      <c r="D128" s="3" t="inlineStr">
        <is>
          <t>June- 2025</t>
        </is>
      </c>
      <c r="E128" s="3" t="inlineStr">
        <is>
          <t>Dr. Soumya Ranjan Malik</t>
        </is>
      </c>
      <c r="F128" s="3" t="inlineStr">
        <is>
          <t>Aiims Delhi</t>
        </is>
      </c>
      <c r="G128" s="3" t="inlineStr">
        <is>
          <t>Aiims Delhi</t>
        </is>
      </c>
      <c r="H128" s="3" t="inlineStr">
        <is>
          <t>drsmallick@aiims.edu</t>
        </is>
      </c>
      <c r="I128" s="3" t="inlineStr"/>
      <c r="J128" s="3" t="inlineStr">
        <is>
          <t>Oncoscan Assay On Affymetrix Platform</t>
        </is>
      </c>
      <c r="K128" s="3" t="inlineStr">
        <is>
          <t>N/A</t>
        </is>
      </c>
      <c r="L128" s="3" t="inlineStr">
        <is>
          <t xml:space="preserve">Without Analysis </t>
        </is>
      </c>
      <c r="M128" s="3" t="n">
        <v>17</v>
      </c>
      <c r="N128" s="3" t="inlineStr"/>
      <c r="O128" s="3" t="inlineStr"/>
      <c r="P128" s="3" t="n">
        <v>0</v>
      </c>
      <c r="Q128" s="3" t="n">
        <v>21207.63</v>
      </c>
      <c r="R128" s="3" t="n">
        <v>381737</v>
      </c>
      <c r="S128" s="3" t="n">
        <v>0</v>
      </c>
      <c r="T128" s="5" t="n">
        <v>0</v>
      </c>
      <c r="U128" s="5" t="inlineStr"/>
      <c r="V128" s="5" t="inlineStr">
        <is>
          <t xml:space="preserve">Done </t>
        </is>
      </c>
      <c r="W128" s="3" t="inlineStr"/>
      <c r="X128" s="3" t="inlineStr">
        <is>
          <t>N/A</t>
        </is>
      </c>
      <c r="Y128" s="3" t="inlineStr">
        <is>
          <t>N/A</t>
        </is>
      </c>
      <c r="Z128" s="3" t="inlineStr">
        <is>
          <t xml:space="preserve">Yes </t>
        </is>
      </c>
    </row>
    <row r="129">
      <c r="A129" s="3" t="inlineStr"/>
      <c r="B129" s="3" t="inlineStr">
        <is>
          <t>NGS 240504</t>
        </is>
      </c>
      <c r="C129" s="4" t="n">
        <v>45828</v>
      </c>
      <c r="D129" s="3" t="inlineStr">
        <is>
          <t>June- 2025</t>
        </is>
      </c>
      <c r="E129" s="3" t="inlineStr">
        <is>
          <t>Dr. Soumya Ranjan Malik</t>
        </is>
      </c>
      <c r="F129" s="3" t="inlineStr">
        <is>
          <t>Aiims Delhi</t>
        </is>
      </c>
      <c r="G129" s="3" t="inlineStr">
        <is>
          <t>Aiims Delhi</t>
        </is>
      </c>
      <c r="H129" s="3" t="inlineStr">
        <is>
          <t>drsmallick@aiims.edu</t>
        </is>
      </c>
      <c r="I129" s="3" t="inlineStr"/>
      <c r="J129" s="3" t="inlineStr">
        <is>
          <t>Oncoscan Assay On Affymetrix Platform</t>
        </is>
      </c>
      <c r="K129" s="3" t="inlineStr">
        <is>
          <t>N/A</t>
        </is>
      </c>
      <c r="L129" s="3" t="inlineStr">
        <is>
          <t xml:space="preserve">Without Analysis </t>
        </is>
      </c>
      <c r="M129" s="3" t="n">
        <v>1</v>
      </c>
      <c r="N129" s="3" t="inlineStr"/>
      <c r="O129" s="3" t="inlineStr"/>
      <c r="P129" s="3" t="n">
        <v>0</v>
      </c>
      <c r="Q129" s="3" t="n">
        <v>21207.63</v>
      </c>
      <c r="R129" s="3" t="n">
        <v>21207.63</v>
      </c>
      <c r="S129" s="3" t="n">
        <v>3817.3734</v>
      </c>
      <c r="T129" s="5" t="n">
        <v>25025.0034</v>
      </c>
      <c r="U129" s="5" t="inlineStr"/>
      <c r="V129" s="5" t="inlineStr">
        <is>
          <t>QC Fail</t>
        </is>
      </c>
      <c r="W129" s="3" t="inlineStr"/>
      <c r="X129" s="3" t="inlineStr">
        <is>
          <t>N/A</t>
        </is>
      </c>
      <c r="Y129" s="3" t="inlineStr">
        <is>
          <t>N/A</t>
        </is>
      </c>
      <c r="Z129" s="3" t="inlineStr"/>
    </row>
    <row r="130">
      <c r="A130" s="3" t="inlineStr"/>
      <c r="B130" s="3" t="inlineStr">
        <is>
          <t>NGS 240505</t>
        </is>
      </c>
      <c r="C130" s="4" t="n">
        <v>45829</v>
      </c>
      <c r="D130" s="3" t="inlineStr">
        <is>
          <t>June- 2025</t>
        </is>
      </c>
      <c r="E130" s="3" t="inlineStr">
        <is>
          <t>Sudharson Narayanan</t>
        </is>
      </c>
      <c r="F130" s="3" t="inlineStr">
        <is>
          <t>Symbiont Life Sciences</t>
        </is>
      </c>
      <c r="G130" s="3" t="inlineStr">
        <is>
          <t>Symbiont Life Sciences</t>
        </is>
      </c>
      <c r="H130" s="3" t="inlineStr">
        <is>
          <t>symbiontcs@gmail.com</t>
        </is>
      </c>
      <c r="I130" s="3" t="inlineStr"/>
      <c r="J130" s="3" t="inlineStr">
        <is>
          <t>Bacterial Whole Genome Sequencing &amp; Analysis On Illumina Novaseq X Plus Platform</t>
        </is>
      </c>
      <c r="K130" s="3" t="inlineStr">
        <is>
          <t>N/A</t>
        </is>
      </c>
      <c r="L130" s="3" t="inlineStr">
        <is>
          <t>With Analysis</t>
        </is>
      </c>
      <c r="M130" s="3" t="n">
        <v>8</v>
      </c>
      <c r="N130" s="3" t="inlineStr">
        <is>
          <t>3 GB/Sample</t>
        </is>
      </c>
      <c r="O130" s="3" t="inlineStr">
        <is>
          <t>3</t>
        </is>
      </c>
      <c r="P130" s="3" t="n">
        <v>24</v>
      </c>
      <c r="Q130" s="3" t="n">
        <v>10000</v>
      </c>
      <c r="R130" s="3" t="n">
        <v>80000</v>
      </c>
      <c r="S130" s="3" t="n">
        <v>14400</v>
      </c>
      <c r="T130" s="5" t="n">
        <v>94400</v>
      </c>
      <c r="U130" s="5" t="inlineStr">
        <is>
          <t>UG/NGS/TP/2501392</t>
        </is>
      </c>
      <c r="V130" s="5" t="inlineStr">
        <is>
          <t>UPL/GEN/177/2526</t>
        </is>
      </c>
      <c r="W130" s="3" t="inlineStr"/>
      <c r="X130" s="3" t="inlineStr">
        <is>
          <t>N/A</t>
        </is>
      </c>
      <c r="Y130" s="3" t="inlineStr">
        <is>
          <t>N/A</t>
        </is>
      </c>
      <c r="Z130" s="3" t="inlineStr"/>
    </row>
    <row r="131">
      <c r="A131" s="3" t="inlineStr"/>
      <c r="B131" s="3" t="inlineStr">
        <is>
          <t>NGS 240506</t>
        </is>
      </c>
      <c r="C131" s="4" t="n">
        <v>45831</v>
      </c>
      <c r="D131" s="3" t="inlineStr">
        <is>
          <t>June- 2025</t>
        </is>
      </c>
      <c r="E131" s="3" t="inlineStr">
        <is>
          <t>Sudharson Narayanan</t>
        </is>
      </c>
      <c r="F131" s="3" t="inlineStr">
        <is>
          <t>Symbiont Life Sciences</t>
        </is>
      </c>
      <c r="G131" s="3" t="inlineStr">
        <is>
          <t>Symbiont Life Sciences</t>
        </is>
      </c>
      <c r="H131" s="3" t="inlineStr">
        <is>
          <t>symbiontcs@gmail.com</t>
        </is>
      </c>
      <c r="I131" s="3" t="inlineStr"/>
      <c r="J131" s="3" t="inlineStr">
        <is>
          <t>Bacterial Whole Genome Sequencing &amp; Analysis On Illumina Novaseq X Plus Platform</t>
        </is>
      </c>
      <c r="K131" s="3" t="inlineStr">
        <is>
          <t>N/A</t>
        </is>
      </c>
      <c r="L131" s="3" t="inlineStr">
        <is>
          <t>With Analysis</t>
        </is>
      </c>
      <c r="M131" s="3" t="n">
        <v>2</v>
      </c>
      <c r="N131" s="3" t="inlineStr">
        <is>
          <t>3 GB/Sample</t>
        </is>
      </c>
      <c r="O131" s="3" t="inlineStr">
        <is>
          <t>3</t>
        </is>
      </c>
      <c r="P131" s="3" t="n">
        <v>6</v>
      </c>
      <c r="Q131" s="3" t="n">
        <v>10000</v>
      </c>
      <c r="R131" s="3" t="n">
        <v>20000</v>
      </c>
      <c r="S131" s="3" t="n">
        <v>3600</v>
      </c>
      <c r="T131" s="5" t="n">
        <v>23600</v>
      </c>
      <c r="U131" s="5" t="inlineStr">
        <is>
          <t>UG/NGS/TP/2501392</t>
        </is>
      </c>
      <c r="V131" s="5" t="inlineStr">
        <is>
          <t xml:space="preserve">Done </t>
        </is>
      </c>
      <c r="W131" s="3" t="inlineStr"/>
      <c r="X131" s="3" t="inlineStr">
        <is>
          <t>N/A</t>
        </is>
      </c>
      <c r="Y131" s="3" t="inlineStr">
        <is>
          <t>N/A</t>
        </is>
      </c>
      <c r="Z131" s="3" t="inlineStr"/>
    </row>
    <row r="132">
      <c r="A132" s="3" t="inlineStr"/>
      <c r="B132" s="3" t="inlineStr">
        <is>
          <t>NGS 240507</t>
        </is>
      </c>
      <c r="C132" s="4" t="n">
        <v>45832</v>
      </c>
      <c r="D132" s="3" t="inlineStr">
        <is>
          <t>June- 2025</t>
        </is>
      </c>
      <c r="E132" s="3" t="inlineStr">
        <is>
          <t>Abhishek Tripathi</t>
        </is>
      </c>
      <c r="F132" s="3" t="inlineStr">
        <is>
          <t>Novelgene Technology Private Limited</t>
        </is>
      </c>
      <c r="G132" s="3" t="inlineStr">
        <is>
          <t>Novelgene Technology Private Limited</t>
        </is>
      </c>
      <c r="H132" s="3" t="inlineStr">
        <is>
          <t>abhishek@novelgenetech.com</t>
        </is>
      </c>
      <c r="I132" s="3" t="inlineStr"/>
      <c r="J132" s="3" t="inlineStr">
        <is>
          <t>Transcriptome Sequencing On Illumina Novaseq X Plus Platform</t>
        </is>
      </c>
      <c r="K132" s="3" t="inlineStr">
        <is>
          <t>N/A</t>
        </is>
      </c>
      <c r="L132" s="3" t="inlineStr">
        <is>
          <t xml:space="preserve">Without Analysis </t>
        </is>
      </c>
      <c r="M132" s="3" t="n">
        <v>16</v>
      </c>
      <c r="N132" s="3" t="inlineStr">
        <is>
          <t>6 GB /Sample</t>
        </is>
      </c>
      <c r="O132" s="3" t="inlineStr">
        <is>
          <t>6</t>
        </is>
      </c>
      <c r="P132" s="3" t="n">
        <v>96</v>
      </c>
      <c r="Q132" s="3" t="n">
        <v>9000</v>
      </c>
      <c r="R132" s="3" t="n">
        <v>144000</v>
      </c>
      <c r="S132" s="3" t="n">
        <v>25920</v>
      </c>
      <c r="T132" s="5" t="n">
        <v>169920</v>
      </c>
      <c r="U132" s="5" t="inlineStr">
        <is>
          <t>UG/NGS/TP/2506845</t>
        </is>
      </c>
      <c r="V132" s="5" t="inlineStr">
        <is>
          <t>UPL/GEN/273/2526</t>
        </is>
      </c>
      <c r="W132" s="3" t="inlineStr"/>
      <c r="X132" s="3" t="inlineStr">
        <is>
          <t>N/A</t>
        </is>
      </c>
      <c r="Y132" s="3" t="inlineStr">
        <is>
          <t>N/A</t>
        </is>
      </c>
      <c r="Z132" s="3" t="inlineStr">
        <is>
          <t xml:space="preserve">Yes </t>
        </is>
      </c>
    </row>
    <row r="133">
      <c r="A133" s="3" t="inlineStr"/>
      <c r="B133" s="3" t="inlineStr">
        <is>
          <t>NGS 240508</t>
        </is>
      </c>
      <c r="C133" s="4" t="n">
        <v>45832</v>
      </c>
      <c r="D133" s="3" t="inlineStr">
        <is>
          <t>June- 2025</t>
        </is>
      </c>
      <c r="E133" s="3" t="inlineStr">
        <is>
          <t>Abhishek Tripathi</t>
        </is>
      </c>
      <c r="F133" s="3" t="inlineStr">
        <is>
          <t>Novelgene Technology Private Limited</t>
        </is>
      </c>
      <c r="G133" s="3" t="inlineStr">
        <is>
          <t>Novelgene Technology Private Limited</t>
        </is>
      </c>
      <c r="H133" s="3" t="inlineStr">
        <is>
          <t>abhishek@novelgenetech.com</t>
        </is>
      </c>
      <c r="I133" s="3" t="inlineStr"/>
      <c r="J133" s="3" t="inlineStr">
        <is>
          <t>Transcriptome Sequencing On Illumina Novaseq X Plus Platform (Ribozero)</t>
        </is>
      </c>
      <c r="K133" s="3" t="inlineStr">
        <is>
          <t>N/A</t>
        </is>
      </c>
      <c r="L133" s="3" t="inlineStr">
        <is>
          <t xml:space="preserve">Without Analysis </t>
        </is>
      </c>
      <c r="M133" s="3" t="n">
        <v>9</v>
      </c>
      <c r="N133" s="3" t="inlineStr">
        <is>
          <t>10 GB /Sample</t>
        </is>
      </c>
      <c r="O133" s="3" t="inlineStr">
        <is>
          <t>10</t>
        </is>
      </c>
      <c r="P133" s="3" t="n">
        <v>90</v>
      </c>
      <c r="Q133" s="3" t="n">
        <v>14000</v>
      </c>
      <c r="R133" s="3" t="n">
        <v>126000</v>
      </c>
      <c r="S133" s="3" t="n">
        <v>22680</v>
      </c>
      <c r="T133" s="5" t="n">
        <v>148680</v>
      </c>
      <c r="U133" s="5" t="inlineStr">
        <is>
          <t>UG/NGS/TP/2506847</t>
        </is>
      </c>
      <c r="V133" s="5" t="inlineStr">
        <is>
          <t>UPL/GEN/191/2526</t>
        </is>
      </c>
      <c r="W133" s="3" t="inlineStr"/>
      <c r="X133" s="3" t="inlineStr">
        <is>
          <t>N/A</t>
        </is>
      </c>
      <c r="Y133" s="3" t="inlineStr">
        <is>
          <t>N/A</t>
        </is>
      </c>
      <c r="Z133" s="3" t="inlineStr">
        <is>
          <t xml:space="preserve">Yes </t>
        </is>
      </c>
    </row>
    <row r="134">
      <c r="A134" s="3" t="inlineStr"/>
      <c r="B134" s="3" t="inlineStr">
        <is>
          <t>NGS 240509</t>
        </is>
      </c>
      <c r="C134" s="4" t="n">
        <v>45832</v>
      </c>
      <c r="D134" s="3" t="inlineStr">
        <is>
          <t>June- 2025</t>
        </is>
      </c>
      <c r="E134" s="3" t="inlineStr">
        <is>
          <t>Abhishek Tripathi</t>
        </is>
      </c>
      <c r="F134" s="3" t="inlineStr">
        <is>
          <t>Novelgene Technology Private Limited</t>
        </is>
      </c>
      <c r="G134" s="3" t="inlineStr">
        <is>
          <t>Novelgene Technology Private Limited</t>
        </is>
      </c>
      <c r="H134" s="3" t="inlineStr">
        <is>
          <t>abhishek@novelgenetech.com</t>
        </is>
      </c>
      <c r="I134" s="3" t="inlineStr"/>
      <c r="J134" s="3" t="inlineStr">
        <is>
          <t>Transcriptome Sequencing On Illumina Novaseq X Plus Platform</t>
        </is>
      </c>
      <c r="K134" s="3" t="inlineStr">
        <is>
          <t>N/A</t>
        </is>
      </c>
      <c r="L134" s="3" t="inlineStr">
        <is>
          <t xml:space="preserve">Without Analysis </t>
        </is>
      </c>
      <c r="M134" s="3" t="n">
        <v>24</v>
      </c>
      <c r="N134" s="3" t="inlineStr">
        <is>
          <t>7 GB /Sample</t>
        </is>
      </c>
      <c r="O134" s="3" t="inlineStr">
        <is>
          <t>7</t>
        </is>
      </c>
      <c r="P134" s="3" t="n">
        <v>168</v>
      </c>
      <c r="Q134" s="3" t="n">
        <v>9600</v>
      </c>
      <c r="R134" s="3" t="n">
        <v>230400</v>
      </c>
      <c r="S134" s="3" t="n">
        <v>41472</v>
      </c>
      <c r="T134" s="5" t="n">
        <v>271872</v>
      </c>
      <c r="U134" s="5" t="inlineStr">
        <is>
          <t>UG/NGS/TP/2506846</t>
        </is>
      </c>
      <c r="V134" s="5" t="inlineStr">
        <is>
          <t>UPL/GEN/274/2526</t>
        </is>
      </c>
      <c r="W134" s="3" t="inlineStr"/>
      <c r="X134" s="3" t="inlineStr">
        <is>
          <t>N/A</t>
        </is>
      </c>
      <c r="Y134" s="3" t="inlineStr">
        <is>
          <t>N/A</t>
        </is>
      </c>
      <c r="Z134" s="3" t="inlineStr">
        <is>
          <t xml:space="preserve">Yes </t>
        </is>
      </c>
    </row>
    <row r="135">
      <c r="A135" s="3" t="inlineStr"/>
      <c r="B135" s="3" t="inlineStr">
        <is>
          <t>NGS 240510</t>
        </is>
      </c>
      <c r="C135" s="4" t="n">
        <v>45832</v>
      </c>
      <c r="D135" s="3" t="inlineStr">
        <is>
          <t>June- 2025</t>
        </is>
      </c>
      <c r="E135" s="3" t="inlineStr">
        <is>
          <t>Dr Ashutosh Pandey</t>
        </is>
      </c>
      <c r="F135" s="3" t="inlineStr">
        <is>
          <t>Nipgr</t>
        </is>
      </c>
      <c r="G135" s="3" t="inlineStr">
        <is>
          <t>Jetta Meditech</t>
        </is>
      </c>
      <c r="H135" s="3" t="inlineStr">
        <is>
          <t>rajni@nipgr.ac.in</t>
        </is>
      </c>
      <c r="I135" s="3" t="inlineStr"/>
      <c r="J135" s="3" t="inlineStr">
        <is>
          <t>Whole Transcriptome Sequencing &amp; Analysis On Illumina Novaseq X Plus Platform</t>
        </is>
      </c>
      <c r="K135" s="3" t="inlineStr">
        <is>
          <t>N/A</t>
        </is>
      </c>
      <c r="L135" s="3" t="inlineStr">
        <is>
          <t>With Analysis</t>
        </is>
      </c>
      <c r="M135" s="3" t="n">
        <v>3</v>
      </c>
      <c r="N135" s="3" t="inlineStr">
        <is>
          <t>5 GB /Sample</t>
        </is>
      </c>
      <c r="O135" s="3" t="inlineStr">
        <is>
          <t>5</t>
        </is>
      </c>
      <c r="P135" s="3" t="n">
        <v>15</v>
      </c>
      <c r="Q135" s="3" t="n">
        <v>12000</v>
      </c>
      <c r="R135" s="3" t="n">
        <v>36000</v>
      </c>
      <c r="S135" s="3" t="n">
        <v>6480</v>
      </c>
      <c r="T135" s="5" t="n">
        <v>42480</v>
      </c>
      <c r="U135" s="5" t="inlineStr">
        <is>
          <t>UG/NGS/TP/2504672R1</t>
        </is>
      </c>
      <c r="V135" s="5" t="inlineStr">
        <is>
          <t>UPL/GEN/297/2526</t>
        </is>
      </c>
      <c r="W135" s="3" t="inlineStr"/>
      <c r="X135" s="3" t="inlineStr">
        <is>
          <t>N/A</t>
        </is>
      </c>
      <c r="Y135" s="3" t="inlineStr">
        <is>
          <t>N/A</t>
        </is>
      </c>
      <c r="Z135" s="3" t="inlineStr"/>
    </row>
    <row r="136">
      <c r="A136" s="3" t="inlineStr"/>
      <c r="B136" s="3" t="inlineStr">
        <is>
          <t>NGS 240511</t>
        </is>
      </c>
      <c r="C136" s="4" t="n">
        <v>45832</v>
      </c>
      <c r="D136" s="3" t="inlineStr">
        <is>
          <t>June- 2025</t>
        </is>
      </c>
      <c r="E136" s="3" t="inlineStr">
        <is>
          <t>Abhishek Tripathi</t>
        </is>
      </c>
      <c r="F136" s="3" t="inlineStr">
        <is>
          <t>Novelgene Technology Private Limited</t>
        </is>
      </c>
      <c r="G136" s="3" t="inlineStr">
        <is>
          <t>Novelgene Technology Private Limited</t>
        </is>
      </c>
      <c r="H136" s="3" t="inlineStr">
        <is>
          <t>abhishek@novelgenetech.com</t>
        </is>
      </c>
      <c r="I136" s="3" t="inlineStr"/>
      <c r="J136" s="3" t="inlineStr">
        <is>
          <t>Transcriptome Sequencing On Illumina Novaseq X Plus Platform (Non Ribozero)</t>
        </is>
      </c>
      <c r="K136" s="3" t="inlineStr">
        <is>
          <t>N/A</t>
        </is>
      </c>
      <c r="L136" s="3" t="inlineStr">
        <is>
          <t xml:space="preserve">Without Analysis </t>
        </is>
      </c>
      <c r="M136" s="3" t="n">
        <v>3</v>
      </c>
      <c r="N136" s="3" t="inlineStr">
        <is>
          <t>10 GB /Sample</t>
        </is>
      </c>
      <c r="O136" s="3" t="inlineStr">
        <is>
          <t>10</t>
        </is>
      </c>
      <c r="P136" s="3" t="n">
        <v>30</v>
      </c>
      <c r="Q136" s="3" t="n">
        <v>11000</v>
      </c>
      <c r="R136" s="3" t="n">
        <v>33000</v>
      </c>
      <c r="S136" s="3" t="n">
        <v>5940</v>
      </c>
      <c r="T136" s="5" t="n">
        <v>38940</v>
      </c>
      <c r="U136" s="5" t="inlineStr">
        <is>
          <t>UG/NGS/TP/2506847</t>
        </is>
      </c>
      <c r="V136" s="5" t="inlineStr">
        <is>
          <t>UPL/GEN/192/2526</t>
        </is>
      </c>
      <c r="W136" s="3" t="inlineStr"/>
      <c r="X136" s="3" t="inlineStr">
        <is>
          <t>N/A</t>
        </is>
      </c>
      <c r="Y136" s="3" t="inlineStr">
        <is>
          <t>N/A</t>
        </is>
      </c>
      <c r="Z136" s="3" t="inlineStr">
        <is>
          <t xml:space="preserve">Yes </t>
        </is>
      </c>
    </row>
    <row r="137">
      <c r="A137" s="3" t="inlineStr"/>
      <c r="B137" s="3" t="inlineStr">
        <is>
          <t>NGS 240512 (GEM)</t>
        </is>
      </c>
      <c r="C137" s="4" t="n">
        <v>45833</v>
      </c>
      <c r="D137" s="3" t="inlineStr">
        <is>
          <t>June- 2025</t>
        </is>
      </c>
      <c r="E137" s="3" t="inlineStr">
        <is>
          <t>Dr. Suvendu Mondal</t>
        </is>
      </c>
      <c r="F137" s="3" t="inlineStr">
        <is>
          <t>Barc, Mumbai</t>
        </is>
      </c>
      <c r="G137" s="3" t="inlineStr">
        <is>
          <t>Barc, Mumbai</t>
        </is>
      </c>
      <c r="H137" s="3" t="inlineStr">
        <is>
          <t>suvendu@barc.gov.in,suvenduhere@yahoo.co.in</t>
        </is>
      </c>
      <c r="I137" s="3" t="inlineStr"/>
      <c r="J137" s="3" t="inlineStr">
        <is>
          <t>Whole Genome Resequencing (30X Depth) Data And Analysis</t>
        </is>
      </c>
      <c r="K137" s="3" t="inlineStr">
        <is>
          <t>N/A</t>
        </is>
      </c>
      <c r="L137" s="3" t="inlineStr">
        <is>
          <t>With Analysis</t>
        </is>
      </c>
      <c r="M137" s="3" t="n">
        <v>11</v>
      </c>
      <c r="N137" s="3" t="inlineStr">
        <is>
          <t>80-90 GB/Sample</t>
        </is>
      </c>
      <c r="O137" s="3" t="inlineStr">
        <is>
          <t>90</t>
        </is>
      </c>
      <c r="P137" s="3" t="n">
        <v>990</v>
      </c>
      <c r="Q137" s="3" t="n">
        <v>32000</v>
      </c>
      <c r="R137" s="3" t="n">
        <v>352000</v>
      </c>
      <c r="S137" s="3" t="n">
        <v>63360</v>
      </c>
      <c r="T137" s="5" t="n">
        <v>415360</v>
      </c>
      <c r="U137" s="5" t="inlineStr">
        <is>
          <t>GEM/2025/B/5912669</t>
        </is>
      </c>
      <c r="V137" s="5" t="inlineStr">
        <is>
          <t>UPL/GEN/257/2526</t>
        </is>
      </c>
      <c r="W137" s="3" t="inlineStr"/>
      <c r="X137" s="3" t="inlineStr">
        <is>
          <t>N/A</t>
        </is>
      </c>
      <c r="Y137" s="3" t="inlineStr">
        <is>
          <t>N/A</t>
        </is>
      </c>
      <c r="Z137" s="3" t="inlineStr"/>
    </row>
    <row r="138">
      <c r="A138" s="3" t="inlineStr"/>
      <c r="B138" s="3" t="inlineStr">
        <is>
          <t>NGS 240489</t>
        </is>
      </c>
      <c r="C138" s="3" t="inlineStr"/>
      <c r="D138" s="3" t="inlineStr"/>
      <c r="E138" s="3" t="inlineStr">
        <is>
          <t>Dr.Poonam Singh</t>
        </is>
      </c>
      <c r="F138" s="3" t="inlineStr">
        <is>
          <t>CSIR-Nbri</t>
        </is>
      </c>
      <c r="G138" s="3" t="inlineStr">
        <is>
          <t>Future Biotech</t>
        </is>
      </c>
      <c r="H138" s="3" t="inlineStr"/>
      <c r="I138" s="3" t="inlineStr"/>
      <c r="J138" s="3" t="inlineStr">
        <is>
          <t>16S V1-V9 Metagenome Sequencing &amp; Analysis On Illumina Platform</t>
        </is>
      </c>
      <c r="K138" s="3" t="inlineStr">
        <is>
          <t>N/A</t>
        </is>
      </c>
      <c r="L138" s="3" t="inlineStr">
        <is>
          <t>With Analysis</t>
        </is>
      </c>
      <c r="M138" s="3" t="n">
        <v>1</v>
      </c>
      <c r="N138" s="3" t="inlineStr"/>
      <c r="O138" s="3" t="inlineStr"/>
      <c r="P138" s="3" t="n">
        <v>0</v>
      </c>
      <c r="Q138" s="3" t="n">
        <v>8500</v>
      </c>
      <c r="R138" s="3" t="n">
        <v>8500</v>
      </c>
      <c r="S138" s="3" t="n">
        <v>1530</v>
      </c>
      <c r="T138" s="5" t="n">
        <v>10030</v>
      </c>
      <c r="U138" s="5" t="inlineStr"/>
      <c r="V138" s="5" t="inlineStr">
        <is>
          <t>QC Fail</t>
        </is>
      </c>
      <c r="W138" s="3" t="inlineStr"/>
      <c r="X138" s="3" t="inlineStr">
        <is>
          <t>N/A</t>
        </is>
      </c>
      <c r="Y138" s="3" t="inlineStr">
        <is>
          <t>N/A</t>
        </is>
      </c>
      <c r="Z138" s="3" t="inlineStr"/>
    </row>
    <row r="139">
      <c r="A139" s="3" t="inlineStr"/>
      <c r="B139" s="3" t="inlineStr">
        <is>
          <t>NGS 240514</t>
        </is>
      </c>
      <c r="C139" s="4" t="n">
        <v>45834</v>
      </c>
      <c r="D139" s="3" t="inlineStr">
        <is>
          <t>June- 2025</t>
        </is>
      </c>
      <c r="E139" s="3" t="inlineStr">
        <is>
          <t>Dr Kajal Jain</t>
        </is>
      </c>
      <c r="F139" s="3" t="inlineStr">
        <is>
          <t>Aiims Delhi</t>
        </is>
      </c>
      <c r="G139" s="3" t="inlineStr">
        <is>
          <t>Aiims Delhi</t>
        </is>
      </c>
      <c r="H139" s="3" t="inlineStr">
        <is>
          <t>kajaljain12@gmail.com</t>
        </is>
      </c>
      <c r="I139" s="3" t="inlineStr"/>
      <c r="J139" s="3" t="inlineStr">
        <is>
          <t>Whole Genome Sequencing On Illumina Platforms</t>
        </is>
      </c>
      <c r="K139" s="3" t="inlineStr">
        <is>
          <t>N/A</t>
        </is>
      </c>
      <c r="L139" s="3" t="inlineStr">
        <is>
          <t xml:space="preserve">Without Analysis </t>
        </is>
      </c>
      <c r="M139" s="3" t="n">
        <v>51</v>
      </c>
      <c r="N139" s="3" t="inlineStr">
        <is>
          <t>1 GB/Sample</t>
        </is>
      </c>
      <c r="O139" s="3" t="inlineStr">
        <is>
          <t>1</t>
        </is>
      </c>
      <c r="P139" s="3" t="n">
        <v>51</v>
      </c>
      <c r="Q139" s="3" t="n">
        <v>3500</v>
      </c>
      <c r="R139" s="3" t="n">
        <v>178500</v>
      </c>
      <c r="S139" s="3" t="n">
        <v>32130</v>
      </c>
      <c r="T139" s="5" t="n">
        <v>210630</v>
      </c>
      <c r="U139" s="5" t="inlineStr">
        <is>
          <t>UG/NGS/TP/2404645R1</t>
        </is>
      </c>
      <c r="V139" s="5" t="inlineStr">
        <is>
          <t xml:space="preserve">Done </t>
        </is>
      </c>
      <c r="W139" s="3" t="inlineStr"/>
      <c r="X139" s="3" t="inlineStr">
        <is>
          <t>N/A</t>
        </is>
      </c>
      <c r="Y139" s="3" t="inlineStr">
        <is>
          <t>N/A</t>
        </is>
      </c>
      <c r="Z139" s="3" t="inlineStr">
        <is>
          <t xml:space="preserve">Yes </t>
        </is>
      </c>
    </row>
    <row r="140">
      <c r="A140" s="3" t="inlineStr"/>
      <c r="B140" s="3" t="inlineStr">
        <is>
          <t>NGS 240515</t>
        </is>
      </c>
      <c r="C140" s="4" t="n">
        <v>45834</v>
      </c>
      <c r="D140" s="3" t="inlineStr">
        <is>
          <t>June- 2025</t>
        </is>
      </c>
      <c r="E140" s="3" t="inlineStr">
        <is>
          <t>Dr.Avisek Mahapa</t>
        </is>
      </c>
      <c r="F140" s="3" t="inlineStr">
        <is>
          <t>Labdose</t>
        </is>
      </c>
      <c r="G140" s="3" t="inlineStr">
        <is>
          <t>Labdose</t>
        </is>
      </c>
      <c r="H140" s="3" t="inlineStr">
        <is>
          <t>Avisek.mahapa@iiim.res.in</t>
        </is>
      </c>
      <c r="I140" s="3" t="inlineStr"/>
      <c r="J140" s="3" t="inlineStr">
        <is>
          <t>16S V3-V4 Metagenome Sequencing &amp; Analysis On Illumina Platform</t>
        </is>
      </c>
      <c r="K140" s="3" t="inlineStr">
        <is>
          <t>N/A</t>
        </is>
      </c>
      <c r="L140" s="3" t="inlineStr">
        <is>
          <t>With Analysis</t>
        </is>
      </c>
      <c r="M140" s="3" t="n">
        <v>12</v>
      </c>
      <c r="N140" s="3" t="inlineStr">
        <is>
          <t>60,000-1,00,000 reads/sample</t>
        </is>
      </c>
      <c r="O140" s="3" t="inlineStr"/>
      <c r="P140" s="3" t="n">
        <v>0</v>
      </c>
      <c r="Q140" s="3" t="n">
        <v>6000</v>
      </c>
      <c r="R140" s="3" t="n">
        <v>72000</v>
      </c>
      <c r="S140" s="3" t="n">
        <v>12960</v>
      </c>
      <c r="T140" s="5" t="n">
        <v>84960</v>
      </c>
      <c r="U140" s="5" t="inlineStr">
        <is>
          <t>UG/NGS/TP/2506825</t>
        </is>
      </c>
      <c r="V140" s="5" t="inlineStr">
        <is>
          <t xml:space="preserve">Done </t>
        </is>
      </c>
      <c r="W140" s="3" t="inlineStr"/>
      <c r="X140" s="3" t="inlineStr">
        <is>
          <t>N/A</t>
        </is>
      </c>
      <c r="Y140" s="3" t="inlineStr">
        <is>
          <t>N/A</t>
        </is>
      </c>
      <c r="Z140" s="3" t="inlineStr"/>
    </row>
    <row r="141">
      <c r="A141" s="3" t="inlineStr"/>
      <c r="B141" s="3" t="inlineStr">
        <is>
          <t>NGS 240517</t>
        </is>
      </c>
      <c r="C141" s="4" t="n">
        <v>45836</v>
      </c>
      <c r="D141" s="3" t="inlineStr">
        <is>
          <t>June- 2025</t>
        </is>
      </c>
      <c r="E141" s="3" t="inlineStr">
        <is>
          <t>Prof.Brejesh Lall</t>
        </is>
      </c>
      <c r="F141" s="3" t="inlineStr">
        <is>
          <t>Iitd</t>
        </is>
      </c>
      <c r="G141" s="3" t="inlineStr">
        <is>
          <t>Iitd</t>
        </is>
      </c>
      <c r="H141" s="3" t="inlineStr">
        <is>
          <t>brejesh@ee.iitd.ac.in</t>
        </is>
      </c>
      <c r="I141" s="3" t="inlineStr"/>
      <c r="J141" s="3" t="inlineStr">
        <is>
          <t>Shotgun Metagenomics Sequencing &amp; Analysis On Illumina Novaseq X Plus Platform</t>
        </is>
      </c>
      <c r="K141" s="3" t="inlineStr">
        <is>
          <t>N/A</t>
        </is>
      </c>
      <c r="L141" s="3" t="inlineStr">
        <is>
          <t>With Analysis</t>
        </is>
      </c>
      <c r="M141" s="3" t="n">
        <v>1</v>
      </c>
      <c r="N141" s="3" t="inlineStr">
        <is>
          <t>10 GB/ sample</t>
        </is>
      </c>
      <c r="O141" s="3" t="inlineStr">
        <is>
          <t>10</t>
        </is>
      </c>
      <c r="P141" s="3" t="n">
        <v>10</v>
      </c>
      <c r="Q141" s="3" t="n">
        <v>15000</v>
      </c>
      <c r="R141" s="3" t="n">
        <v>15000</v>
      </c>
      <c r="S141" s="3" t="n">
        <v>2700</v>
      </c>
      <c r="T141" s="5" t="n">
        <v>17700</v>
      </c>
      <c r="U141" s="5" t="inlineStr">
        <is>
          <t>UG/NGS/TP/2506835R1</t>
        </is>
      </c>
      <c r="V141" s="5" t="inlineStr">
        <is>
          <t>QC Fail</t>
        </is>
      </c>
      <c r="W141" s="3" t="inlineStr"/>
      <c r="X141" s="3" t="inlineStr">
        <is>
          <t>N/A</t>
        </is>
      </c>
      <c r="Y141" s="3" t="inlineStr">
        <is>
          <t>N/A</t>
        </is>
      </c>
      <c r="Z141" s="3" t="inlineStr"/>
    </row>
    <row r="142">
      <c r="A142" s="3" t="inlineStr"/>
      <c r="B142" s="3" t="inlineStr">
        <is>
          <t>NGS 240517</t>
        </is>
      </c>
      <c r="C142" s="4" t="n">
        <v>45836</v>
      </c>
      <c r="D142" s="3" t="inlineStr">
        <is>
          <t>June- 2025</t>
        </is>
      </c>
      <c r="E142" s="3" t="inlineStr">
        <is>
          <t>Prof.Brejesh Lall</t>
        </is>
      </c>
      <c r="F142" s="3" t="inlineStr">
        <is>
          <t>Iitd</t>
        </is>
      </c>
      <c r="G142" s="3" t="inlineStr">
        <is>
          <t>Iitd</t>
        </is>
      </c>
      <c r="H142" s="3" t="inlineStr">
        <is>
          <t>brejesh@ee.iitd.ac.in</t>
        </is>
      </c>
      <c r="I142" s="3" t="inlineStr"/>
      <c r="J142" s="3" t="inlineStr">
        <is>
          <t>Shotgun Metagenomics Sequencing &amp; Analysis On Illumina Novaseq X Plus Platform</t>
        </is>
      </c>
      <c r="K142" s="3" t="inlineStr">
        <is>
          <t>N/A</t>
        </is>
      </c>
      <c r="L142" s="3" t="inlineStr">
        <is>
          <t>With Analysis</t>
        </is>
      </c>
      <c r="M142" s="3" t="n">
        <v>9</v>
      </c>
      <c r="N142" s="3" t="inlineStr">
        <is>
          <t>10 GB/ sample</t>
        </is>
      </c>
      <c r="O142" s="3" t="inlineStr">
        <is>
          <t>10</t>
        </is>
      </c>
      <c r="P142" s="3" t="n">
        <v>90</v>
      </c>
      <c r="Q142" s="3" t="n">
        <v>15000</v>
      </c>
      <c r="R142" s="3" t="n">
        <v>135000</v>
      </c>
      <c r="S142" s="3" t="n">
        <v>24300</v>
      </c>
      <c r="T142" s="5" t="n">
        <v>159300</v>
      </c>
      <c r="U142" s="5" t="inlineStr">
        <is>
          <t>UG/NGS/TP/2506835R1</t>
        </is>
      </c>
      <c r="V142" s="5" t="inlineStr">
        <is>
          <t>UPL/GEN/197/2526</t>
        </is>
      </c>
      <c r="W142" s="3" t="inlineStr"/>
      <c r="X142" s="3" t="inlineStr">
        <is>
          <t>N/A</t>
        </is>
      </c>
      <c r="Y142" s="3" t="inlineStr">
        <is>
          <t>N/A</t>
        </is>
      </c>
      <c r="Z14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6" customWidth="1" min="4" max="4"/>
    <col width="26" customWidth="1" min="5" max="5"/>
    <col width="32" customWidth="1" min="6" max="6"/>
    <col width="32" customWidth="1" min="7" max="7"/>
    <col width="9" customWidth="1" min="8" max="8"/>
    <col width="13" customWidth="1" min="9" max="9"/>
    <col width="50" customWidth="1" min="10" max="10"/>
    <col width="47" customWidth="1" min="11" max="11"/>
    <col width="14" customWidth="1" min="12" max="12"/>
    <col width="16" customWidth="1" min="13" max="13"/>
    <col width="22" customWidth="1" min="14" max="14"/>
    <col width="17" customWidth="1" min="15" max="15"/>
    <col width="7" customWidth="1" min="16" max="16"/>
    <col width="5" customWidth="1" min="17" max="17"/>
    <col width="20" customWidth="1" min="18" max="18"/>
    <col width="15" customWidth="1" min="19" max="19"/>
    <col width="13" customWidth="1" min="20" max="20"/>
    <col width="14" customWidth="1" min="21" max="21"/>
    <col width="16" customWidth="1" min="22" max="22"/>
    <col width="6" customWidth="1" min="23" max="23"/>
  </cols>
  <sheetData>
    <row r="1">
      <c r="A1" s="2" t="inlineStr">
        <is>
          <t>SR. NO.</t>
        </is>
      </c>
      <c r="B1" s="2" t="inlineStr">
        <is>
          <t>PROJECT ID</t>
        </is>
      </c>
      <c r="C1" s="2" t="inlineStr">
        <is>
          <t>MONTH</t>
        </is>
      </c>
      <c r="D1" s="2" t="inlineStr">
        <is>
          <t>DATE</t>
        </is>
      </c>
      <c r="E1" s="2" t="inlineStr">
        <is>
          <t>SCIENTIST NAME</t>
        </is>
      </c>
      <c r="F1" s="2" t="inlineStr">
        <is>
          <t>INSTITUTE</t>
        </is>
      </c>
      <c r="G1" s="2" t="inlineStr">
        <is>
          <t>BILLING</t>
        </is>
      </c>
      <c r="H1" s="2" t="inlineStr">
        <is>
          <t>MAIL ID</t>
        </is>
      </c>
      <c r="I1" s="2" t="inlineStr">
        <is>
          <t>CONTACT NO.</t>
        </is>
      </c>
      <c r="J1" s="2" t="inlineStr">
        <is>
          <t>SERVICE NAME</t>
        </is>
      </c>
      <c r="K1" s="2" t="inlineStr">
        <is>
          <t>SERVICE HEAD</t>
        </is>
      </c>
      <c r="L1" s="2" t="inlineStr">
        <is>
          <t>NO OF SAMPLE</t>
        </is>
      </c>
      <c r="M1" s="2" t="inlineStr">
        <is>
          <t>GB DATA OUTPUT</t>
        </is>
      </c>
      <c r="N1" s="2" t="inlineStr">
        <is>
          <t>TOTAL GB DATA OUTPUT</t>
        </is>
      </c>
      <c r="O1" s="2" t="inlineStr">
        <is>
          <t>RATE PER SAMPLE</t>
        </is>
      </c>
      <c r="P1" s="2" t="inlineStr">
        <is>
          <t>TOTAL</t>
        </is>
      </c>
      <c r="Q1" s="2" t="inlineStr">
        <is>
          <t>GST</t>
        </is>
      </c>
      <c r="R1" s="2" t="inlineStr">
        <is>
          <t>TOTAL PROJECT COST</t>
        </is>
      </c>
      <c r="S1" s="2" t="inlineStr">
        <is>
          <t>QUOTATION NO.</t>
        </is>
      </c>
      <c r="T1" s="2" t="inlineStr">
        <is>
          <t>INVOICE NO.</t>
        </is>
      </c>
      <c r="U1" s="2" t="inlineStr">
        <is>
          <t>SALES PERSON</t>
        </is>
      </c>
      <c r="V1" s="2" t="inlineStr">
        <is>
          <t>TERRITORY NAME</t>
        </is>
      </c>
      <c r="W1" s="2" t="inlineStr">
        <is>
          <t>CITY</t>
        </is>
      </c>
    </row>
    <row r="2">
      <c r="A2" s="3" t="inlineStr"/>
      <c r="B2" s="3" t="inlineStr">
        <is>
          <t>NGS 240394</t>
        </is>
      </c>
      <c r="C2" s="3" t="inlineStr">
        <is>
          <t>APRIL</t>
        </is>
      </c>
      <c r="D2" s="3" t="inlineStr"/>
      <c r="E2" s="3" t="inlineStr">
        <is>
          <t>Dr. Pradeep Sharma</t>
        </is>
      </c>
      <c r="F2" s="3" t="inlineStr">
        <is>
          <t>Aiims Delhi</t>
        </is>
      </c>
      <c r="G2" s="3" t="inlineStr">
        <is>
          <t>Aiims Delhi</t>
        </is>
      </c>
      <c r="H2" s="3" t="inlineStr"/>
      <c r="I2" s="3" t="inlineStr"/>
      <c r="J2" s="3" t="inlineStr">
        <is>
          <t>Transcriptome Sequencing &amp; Analysis On Illumina</t>
        </is>
      </c>
      <c r="K2" s="3" t="inlineStr">
        <is>
          <t>RNA Seq</t>
        </is>
      </c>
      <c r="L2" s="3" t="n">
        <v>7</v>
      </c>
      <c r="M2" s="3" t="inlineStr"/>
      <c r="N2" s="3" t="n">
        <v>42</v>
      </c>
      <c r="O2" s="3" t="inlineStr"/>
      <c r="P2" s="3" t="n">
        <v>0</v>
      </c>
      <c r="Q2" s="3" t="n">
        <v>0</v>
      </c>
      <c r="R2" s="3" t="n">
        <v>0</v>
      </c>
      <c r="S2" s="3" t="inlineStr"/>
      <c r="T2" s="5" t="inlineStr"/>
      <c r="U2" s="5" t="inlineStr"/>
      <c r="V2" s="5" t="inlineStr">
        <is>
          <t>N/A</t>
        </is>
      </c>
      <c r="W2" s="3" t="inlineStr">
        <is>
          <t>N/A</t>
        </is>
      </c>
    </row>
    <row r="3">
      <c r="A3" s="3" t="inlineStr"/>
      <c r="B3" s="3" t="inlineStr">
        <is>
          <t>NGS 240395</t>
        </is>
      </c>
      <c r="C3" s="3" t="inlineStr">
        <is>
          <t>APRIL</t>
        </is>
      </c>
      <c r="D3" s="3" t="inlineStr"/>
      <c r="E3" s="3" t="inlineStr">
        <is>
          <t>Dr. Pradeep Sharma</t>
        </is>
      </c>
      <c r="F3" s="3" t="inlineStr">
        <is>
          <t>Aiims Delhi</t>
        </is>
      </c>
      <c r="G3" s="3" t="inlineStr">
        <is>
          <t>Aiims Delhi</t>
        </is>
      </c>
      <c r="H3" s="3" t="inlineStr"/>
      <c r="I3" s="3" t="inlineStr"/>
      <c r="J3" s="3" t="inlineStr">
        <is>
          <t>16S V3-V4 Metagenome Sequencing &amp; Analysis On Illumina</t>
        </is>
      </c>
      <c r="K3" s="3" t="inlineStr">
        <is>
          <t>16S Metagenome</t>
        </is>
      </c>
      <c r="L3" s="3" t="n">
        <v>15</v>
      </c>
      <c r="M3" s="3" t="inlineStr"/>
      <c r="N3" s="3" t="n">
        <v>0</v>
      </c>
      <c r="O3" s="3" t="inlineStr"/>
      <c r="P3" s="3" t="n">
        <v>0</v>
      </c>
      <c r="Q3" s="3" t="n">
        <v>0</v>
      </c>
      <c r="R3" s="3" t="n">
        <v>0</v>
      </c>
      <c r="S3" s="3" t="inlineStr"/>
      <c r="T3" s="5" t="inlineStr"/>
      <c r="U3" s="5" t="inlineStr"/>
      <c r="V3" s="5" t="inlineStr">
        <is>
          <t>N/A</t>
        </is>
      </c>
      <c r="W3" s="3" t="inlineStr">
        <is>
          <t>N/A</t>
        </is>
      </c>
    </row>
    <row r="4">
      <c r="A4" s="3" t="inlineStr"/>
      <c r="B4" s="3" t="inlineStr">
        <is>
          <t>NGS 240396</t>
        </is>
      </c>
      <c r="C4" s="3" t="inlineStr">
        <is>
          <t>APRIL</t>
        </is>
      </c>
      <c r="D4" s="3" t="inlineStr"/>
      <c r="E4" s="3" t="inlineStr">
        <is>
          <t>Aparna Dwivedi</t>
        </is>
      </c>
      <c r="F4" s="3" t="inlineStr">
        <is>
          <t>Bsip</t>
        </is>
      </c>
      <c r="G4" s="3" t="inlineStr">
        <is>
          <t>Bsip</t>
        </is>
      </c>
      <c r="H4" s="3" t="inlineStr"/>
      <c r="I4" s="3" t="inlineStr"/>
      <c r="J4" s="3" t="inlineStr">
        <is>
          <t>Lane Sequencing On Illumina</t>
        </is>
      </c>
      <c r="K4" s="3" t="inlineStr">
        <is>
          <t>Lane Sequencing</t>
        </is>
      </c>
      <c r="L4" s="3" t="n">
        <v>40</v>
      </c>
      <c r="M4" s="3" t="inlineStr"/>
      <c r="N4" s="3" t="n">
        <v>40</v>
      </c>
      <c r="O4" s="3" t="inlineStr"/>
      <c r="P4" s="3" t="n">
        <v>0</v>
      </c>
      <c r="Q4" s="3" t="n">
        <v>0</v>
      </c>
      <c r="R4" s="3" t="n">
        <v>0</v>
      </c>
      <c r="S4" s="3" t="inlineStr"/>
      <c r="T4" s="5" t="inlineStr"/>
      <c r="U4" s="5" t="inlineStr"/>
      <c r="V4" s="5" t="inlineStr">
        <is>
          <t>N/A</t>
        </is>
      </c>
      <c r="W4" s="3" t="inlineStr">
        <is>
          <t>N/A</t>
        </is>
      </c>
    </row>
    <row r="5">
      <c r="A5" s="3" t="inlineStr"/>
      <c r="B5" s="3" t="inlineStr">
        <is>
          <t>NGS 240396</t>
        </is>
      </c>
      <c r="C5" s="3" t="inlineStr">
        <is>
          <t>APRIL</t>
        </is>
      </c>
      <c r="D5" s="3" t="inlineStr"/>
      <c r="E5" s="3" t="inlineStr">
        <is>
          <t>Aparna Dwivedi</t>
        </is>
      </c>
      <c r="F5" s="3" t="inlineStr">
        <is>
          <t>Bsip</t>
        </is>
      </c>
      <c r="G5" s="3" t="inlineStr">
        <is>
          <t>Bsip</t>
        </is>
      </c>
      <c r="H5" s="3" t="inlineStr"/>
      <c r="I5" s="3" t="inlineStr"/>
      <c r="J5" s="3" t="inlineStr">
        <is>
          <t>Lane Sequencing On Illumina</t>
        </is>
      </c>
      <c r="K5" s="3" t="inlineStr">
        <is>
          <t>Lane Sequencing</t>
        </is>
      </c>
      <c r="L5" s="3" t="n">
        <v>0</v>
      </c>
      <c r="M5" s="3" t="inlineStr"/>
      <c r="N5" s="3" t="n">
        <v>0</v>
      </c>
      <c r="O5" s="3" t="inlineStr"/>
      <c r="P5" s="3" t="n">
        <v>0</v>
      </c>
      <c r="Q5" s="3" t="n">
        <v>0</v>
      </c>
      <c r="R5" s="3" t="n">
        <v>0</v>
      </c>
      <c r="S5" s="3" t="inlineStr"/>
      <c r="T5" s="5" t="inlineStr"/>
      <c r="U5" s="5" t="inlineStr"/>
      <c r="V5" s="5" t="inlineStr">
        <is>
          <t>N/A</t>
        </is>
      </c>
      <c r="W5" s="3" t="inlineStr">
        <is>
          <t>N/A</t>
        </is>
      </c>
    </row>
    <row r="6">
      <c r="A6" s="3" t="inlineStr"/>
      <c r="B6" s="3" t="inlineStr">
        <is>
          <t>NGS 240396</t>
        </is>
      </c>
      <c r="C6" s="3" t="inlineStr">
        <is>
          <t>APRIL</t>
        </is>
      </c>
      <c r="D6" s="3" t="inlineStr"/>
      <c r="E6" s="3" t="inlineStr">
        <is>
          <t>Aparna Dwivedi</t>
        </is>
      </c>
      <c r="F6" s="3" t="inlineStr">
        <is>
          <t>Bsip</t>
        </is>
      </c>
      <c r="G6" s="3" t="inlineStr">
        <is>
          <t>Bsip</t>
        </is>
      </c>
      <c r="H6" s="3" t="inlineStr"/>
      <c r="I6" s="3" t="inlineStr"/>
      <c r="J6" s="3" t="inlineStr">
        <is>
          <t>DNA Library Qc</t>
        </is>
      </c>
      <c r="K6" s="3" t="inlineStr">
        <is>
          <t>Library Qc</t>
        </is>
      </c>
      <c r="L6" s="3" t="n">
        <v>0</v>
      </c>
      <c r="M6" s="3" t="inlineStr"/>
      <c r="N6" s="3" t="n">
        <v>0</v>
      </c>
      <c r="O6" s="3" t="inlineStr"/>
      <c r="P6" s="3" t="n">
        <v>0</v>
      </c>
      <c r="Q6" s="3" t="n">
        <v>0</v>
      </c>
      <c r="R6" s="3" t="n">
        <v>0</v>
      </c>
      <c r="S6" s="3" t="inlineStr"/>
      <c r="T6" s="5" t="inlineStr"/>
      <c r="U6" s="5" t="inlineStr"/>
      <c r="V6" s="5" t="inlineStr">
        <is>
          <t>N/A</t>
        </is>
      </c>
      <c r="W6" s="3" t="inlineStr">
        <is>
          <t>N/A</t>
        </is>
      </c>
    </row>
    <row r="7">
      <c r="A7" s="3" t="inlineStr"/>
      <c r="B7" s="3" t="inlineStr">
        <is>
          <t>NGS 240397</t>
        </is>
      </c>
      <c r="C7" s="3" t="inlineStr">
        <is>
          <t>APRIL</t>
        </is>
      </c>
      <c r="D7" s="3" t="inlineStr"/>
      <c r="E7" s="3" t="inlineStr">
        <is>
          <t>Dr Komal Agrawal</t>
        </is>
      </c>
      <c r="F7" s="3" t="inlineStr">
        <is>
          <t>Lpu</t>
        </is>
      </c>
      <c r="G7" s="3" t="inlineStr">
        <is>
          <t>Lpu</t>
        </is>
      </c>
      <c r="H7" s="3" t="inlineStr"/>
      <c r="I7" s="3" t="inlineStr"/>
      <c r="J7" s="3" t="inlineStr">
        <is>
          <t>Whole Metagenome Sequencing &amp; Analysis On Illumina</t>
        </is>
      </c>
      <c r="K7" s="3" t="inlineStr">
        <is>
          <t>Wgmg</t>
        </is>
      </c>
      <c r="L7" s="3" t="n">
        <v>1</v>
      </c>
      <c r="M7" s="3" t="inlineStr"/>
      <c r="N7" s="3" t="n">
        <v>8</v>
      </c>
      <c r="O7" s="3" t="inlineStr"/>
      <c r="P7" s="3" t="n">
        <v>0</v>
      </c>
      <c r="Q7" s="3" t="n">
        <v>0</v>
      </c>
      <c r="R7" s="3" t="n">
        <v>0</v>
      </c>
      <c r="S7" s="3" t="inlineStr"/>
      <c r="T7" s="5" t="inlineStr"/>
      <c r="U7" s="5" t="inlineStr"/>
      <c r="V7" s="5" t="inlineStr">
        <is>
          <t>N/A</t>
        </is>
      </c>
      <c r="W7" s="3" t="inlineStr">
        <is>
          <t>N/A</t>
        </is>
      </c>
    </row>
    <row r="8">
      <c r="A8" s="3" t="inlineStr"/>
      <c r="B8" s="3" t="inlineStr">
        <is>
          <t>NGS 240398</t>
        </is>
      </c>
      <c r="C8" s="3" t="inlineStr">
        <is>
          <t>APRIL</t>
        </is>
      </c>
      <c r="D8" s="3" t="inlineStr"/>
      <c r="E8" s="3" t="inlineStr">
        <is>
          <t>Dr Kajal Jain</t>
        </is>
      </c>
      <c r="F8" s="3" t="inlineStr">
        <is>
          <t>Aiims Delhi</t>
        </is>
      </c>
      <c r="G8" s="3" t="inlineStr">
        <is>
          <t>Aiims Delhi</t>
        </is>
      </c>
      <c r="H8" s="3" t="inlineStr"/>
      <c r="I8" s="3" t="inlineStr"/>
      <c r="J8" s="3" t="inlineStr">
        <is>
          <t>Whole Genome Sequencing On Illumina</t>
        </is>
      </c>
      <c r="K8" s="3" t="inlineStr">
        <is>
          <t>Wgs</t>
        </is>
      </c>
      <c r="L8" s="3" t="n">
        <v>22</v>
      </c>
      <c r="M8" s="3" t="inlineStr"/>
      <c r="N8" s="3" t="n">
        <v>102</v>
      </c>
      <c r="O8" s="3" t="inlineStr"/>
      <c r="P8" s="3" t="n">
        <v>0</v>
      </c>
      <c r="Q8" s="3" t="n">
        <v>0</v>
      </c>
      <c r="R8" s="3" t="n">
        <v>0</v>
      </c>
      <c r="S8" s="3" t="inlineStr"/>
      <c r="T8" s="5" t="inlineStr"/>
      <c r="U8" s="5" t="inlineStr"/>
      <c r="V8" s="5" t="inlineStr">
        <is>
          <t>N/A</t>
        </is>
      </c>
      <c r="W8" s="3" t="inlineStr">
        <is>
          <t>N/A</t>
        </is>
      </c>
    </row>
    <row r="9">
      <c r="A9" s="3" t="inlineStr"/>
      <c r="B9" s="3" t="inlineStr">
        <is>
          <t>NGS 240398</t>
        </is>
      </c>
      <c r="C9" s="3" t="inlineStr">
        <is>
          <t>APRIL</t>
        </is>
      </c>
      <c r="D9" s="3" t="inlineStr"/>
      <c r="E9" s="3" t="inlineStr">
        <is>
          <t>Dr Kajal Jain</t>
        </is>
      </c>
      <c r="F9" s="3" t="inlineStr">
        <is>
          <t>Aiims Delhi</t>
        </is>
      </c>
      <c r="G9" s="3" t="inlineStr">
        <is>
          <t>Aiims Delhi</t>
        </is>
      </c>
      <c r="H9" s="3" t="inlineStr"/>
      <c r="I9" s="3" t="inlineStr"/>
      <c r="J9" s="3" t="inlineStr">
        <is>
          <t>Whole Genome Sequencing On Illumina</t>
        </is>
      </c>
      <c r="K9" s="3" t="inlineStr">
        <is>
          <t>Wgs</t>
        </is>
      </c>
      <c r="L9" s="3" t="n">
        <v>80</v>
      </c>
      <c r="M9" s="3" t="inlineStr"/>
      <c r="N9" s="3" t="n">
        <v>0</v>
      </c>
      <c r="O9" s="3" t="inlineStr"/>
      <c r="P9" s="3" t="n">
        <v>0</v>
      </c>
      <c r="Q9" s="3" t="n">
        <v>0</v>
      </c>
      <c r="R9" s="3" t="n">
        <v>0</v>
      </c>
      <c r="S9" s="3" t="inlineStr"/>
      <c r="T9" s="5" t="inlineStr"/>
      <c r="U9" s="5" t="inlineStr"/>
      <c r="V9" s="5" t="inlineStr">
        <is>
          <t>N/A</t>
        </is>
      </c>
      <c r="W9" s="3" t="inlineStr">
        <is>
          <t>N/A</t>
        </is>
      </c>
    </row>
    <row r="10">
      <c r="A10" s="3" t="inlineStr"/>
      <c r="B10" s="3" t="inlineStr">
        <is>
          <t>NGS 240399</t>
        </is>
      </c>
      <c r="C10" s="3" t="inlineStr">
        <is>
          <t>APRIL</t>
        </is>
      </c>
      <c r="D10" s="3" t="inlineStr"/>
      <c r="E10" s="3" t="inlineStr">
        <is>
          <t>Sudharson Narayanan</t>
        </is>
      </c>
      <c r="F10" s="3" t="inlineStr">
        <is>
          <t>Symbiont Life Sciences</t>
        </is>
      </c>
      <c r="G10" s="3" t="inlineStr">
        <is>
          <t>Symbiont Life Sciences</t>
        </is>
      </c>
      <c r="H10" s="3" t="inlineStr"/>
      <c r="I10" s="3" t="inlineStr"/>
      <c r="J10" s="3" t="inlineStr">
        <is>
          <t>Transcriptome Sequencing &amp; Analysis On Illumina</t>
        </is>
      </c>
      <c r="K10" s="3" t="inlineStr">
        <is>
          <t>RNA Seq</t>
        </is>
      </c>
      <c r="L10" s="3" t="n">
        <v>6</v>
      </c>
      <c r="M10" s="3" t="inlineStr"/>
      <c r="N10" s="3" t="n">
        <v>54</v>
      </c>
      <c r="O10" s="3" t="inlineStr"/>
      <c r="P10" s="3" t="n">
        <v>0</v>
      </c>
      <c r="Q10" s="3" t="n">
        <v>0</v>
      </c>
      <c r="R10" s="3" t="n">
        <v>0</v>
      </c>
      <c r="S10" s="3" t="inlineStr"/>
      <c r="T10" s="5" t="inlineStr"/>
      <c r="U10" s="5" t="inlineStr"/>
      <c r="V10" s="5" t="inlineStr">
        <is>
          <t>N/A</t>
        </is>
      </c>
      <c r="W10" s="3" t="inlineStr">
        <is>
          <t>N/A</t>
        </is>
      </c>
    </row>
    <row r="11">
      <c r="A11" s="3" t="inlineStr"/>
      <c r="B11" s="3" t="inlineStr">
        <is>
          <t>NGS 240400</t>
        </is>
      </c>
      <c r="C11" s="3" t="inlineStr">
        <is>
          <t>APRIL</t>
        </is>
      </c>
      <c r="D11" s="3" t="inlineStr"/>
      <c r="E11" s="3" t="inlineStr">
        <is>
          <t>Sudharson Narayanan</t>
        </is>
      </c>
      <c r="F11" s="3" t="inlineStr">
        <is>
          <t>Symbiont Life Sciences</t>
        </is>
      </c>
      <c r="G11" s="3" t="inlineStr">
        <is>
          <t>Symbiont Life Sciences</t>
        </is>
      </c>
      <c r="H11" s="3" t="inlineStr"/>
      <c r="I11" s="3" t="inlineStr"/>
      <c r="J11" s="3" t="inlineStr">
        <is>
          <t>Whole Metagenome Sequencing &amp; Analysis On Illumina</t>
        </is>
      </c>
      <c r="K11" s="3" t="inlineStr">
        <is>
          <t>Wgmg</t>
        </is>
      </c>
      <c r="L11" s="3" t="n">
        <v>1</v>
      </c>
      <c r="M11" s="3" t="inlineStr"/>
      <c r="N11" s="3" t="n">
        <v>3</v>
      </c>
      <c r="O11" s="3" t="inlineStr"/>
      <c r="P11" s="3" t="n">
        <v>0</v>
      </c>
      <c r="Q11" s="3" t="n">
        <v>0</v>
      </c>
      <c r="R11" s="3" t="n">
        <v>0</v>
      </c>
      <c r="S11" s="3" t="inlineStr"/>
      <c r="T11" s="5" t="inlineStr"/>
      <c r="U11" s="5" t="inlineStr"/>
      <c r="V11" s="5" t="inlineStr">
        <is>
          <t>N/A</t>
        </is>
      </c>
      <c r="W11" s="3" t="inlineStr">
        <is>
          <t>N/A</t>
        </is>
      </c>
    </row>
    <row r="12">
      <c r="A12" s="3" t="inlineStr"/>
      <c r="B12" s="3" t="inlineStr">
        <is>
          <t>NGS 240401</t>
        </is>
      </c>
      <c r="C12" s="3" t="inlineStr">
        <is>
          <t>APRIL</t>
        </is>
      </c>
      <c r="D12" s="3" t="inlineStr"/>
      <c r="E12" s="3" t="inlineStr">
        <is>
          <t>Dr. Swagatam Ray</t>
        </is>
      </c>
      <c r="F12" s="3" t="inlineStr">
        <is>
          <t>Intas Pharmaceuticals</t>
        </is>
      </c>
      <c r="G12" s="3" t="inlineStr">
        <is>
          <t>Intas Pharmaceuticals</t>
        </is>
      </c>
      <c r="H12" s="3" t="inlineStr"/>
      <c r="I12" s="3" t="inlineStr"/>
      <c r="J12" s="3" t="inlineStr">
        <is>
          <t>Car-T Site Integration Analysis</t>
        </is>
      </c>
      <c r="K12" s="3" t="inlineStr">
        <is>
          <t>Car-T Site</t>
        </is>
      </c>
      <c r="L12" s="3" t="n">
        <v>4</v>
      </c>
      <c r="M12" s="3" t="inlineStr"/>
      <c r="N12" s="3" t="n">
        <v>0</v>
      </c>
      <c r="O12" s="3" t="inlineStr"/>
      <c r="P12" s="3" t="n">
        <v>0</v>
      </c>
      <c r="Q12" s="3" t="n">
        <v>0</v>
      </c>
      <c r="R12" s="3" t="n">
        <v>0</v>
      </c>
      <c r="S12" s="3" t="inlineStr"/>
      <c r="T12" s="5" t="inlineStr"/>
      <c r="U12" s="5" t="inlineStr"/>
      <c r="V12" s="5" t="inlineStr">
        <is>
          <t>N/A</t>
        </is>
      </c>
      <c r="W12" s="3" t="inlineStr">
        <is>
          <t>N/A</t>
        </is>
      </c>
    </row>
    <row r="13">
      <c r="A13" s="3" t="inlineStr"/>
      <c r="B13" s="3" t="inlineStr">
        <is>
          <t>NGS 240402</t>
        </is>
      </c>
      <c r="C13" s="3" t="inlineStr">
        <is>
          <t>APRIL</t>
        </is>
      </c>
      <c r="D13" s="3" t="inlineStr"/>
      <c r="E13" s="3" t="inlineStr">
        <is>
          <t>Dr. Surajit Baksi</t>
        </is>
      </c>
      <c r="F13" s="3" t="inlineStr">
        <is>
          <t>Hester Biosciences</t>
        </is>
      </c>
      <c r="G13" s="3" t="inlineStr">
        <is>
          <t>Hester Biosciences</t>
        </is>
      </c>
      <c r="H13" s="3" t="inlineStr"/>
      <c r="I13" s="3" t="inlineStr"/>
      <c r="J13" s="3" t="inlineStr">
        <is>
          <t>Cell Line Characterization DNA Based And RNA Based</t>
        </is>
      </c>
      <c r="K13" s="3" t="inlineStr">
        <is>
          <t>Cell Line Characterization DNA Based And</t>
        </is>
      </c>
      <c r="L13" s="3" t="n">
        <v>2</v>
      </c>
      <c r="M13" s="3" t="inlineStr"/>
      <c r="N13" s="3" t="n">
        <v>105</v>
      </c>
      <c r="O13" s="3" t="inlineStr"/>
      <c r="P13" s="3" t="n">
        <v>0</v>
      </c>
      <c r="Q13" s="3" t="n">
        <v>0</v>
      </c>
      <c r="R13" s="3" t="n">
        <v>0</v>
      </c>
      <c r="S13" s="3" t="inlineStr"/>
      <c r="T13" s="5" t="inlineStr"/>
      <c r="U13" s="5" t="inlineStr"/>
      <c r="V13" s="5" t="inlineStr">
        <is>
          <t>N/A</t>
        </is>
      </c>
      <c r="W13" s="3" t="inlineStr">
        <is>
          <t>N/A</t>
        </is>
      </c>
    </row>
    <row r="14">
      <c r="A14" s="3" t="inlineStr"/>
      <c r="B14" s="3" t="inlineStr">
        <is>
          <t>NGS 240403</t>
        </is>
      </c>
      <c r="C14" s="3" t="inlineStr">
        <is>
          <t>APRIL</t>
        </is>
      </c>
      <c r="D14" s="3" t="inlineStr"/>
      <c r="E14" s="3" t="inlineStr">
        <is>
          <t>Dr. Surajit Baksi</t>
        </is>
      </c>
      <c r="F14" s="3" t="inlineStr">
        <is>
          <t>Hester Biosciences</t>
        </is>
      </c>
      <c r="G14" s="3" t="inlineStr">
        <is>
          <t>Hester Biosciences</t>
        </is>
      </c>
      <c r="H14" s="3" t="inlineStr"/>
      <c r="I14" s="3" t="inlineStr"/>
      <c r="J14" s="3" t="inlineStr">
        <is>
          <t>Viral Whole Genome Sequencing &amp; Analysis On Illumina</t>
        </is>
      </c>
      <c r="K14" s="3" t="inlineStr">
        <is>
          <t>Wgs</t>
        </is>
      </c>
      <c r="L14" s="3" t="n">
        <v>1</v>
      </c>
      <c r="M14" s="3" t="inlineStr"/>
      <c r="N14" s="3" t="n">
        <v>3</v>
      </c>
      <c r="O14" s="3" t="inlineStr"/>
      <c r="P14" s="3" t="n">
        <v>0</v>
      </c>
      <c r="Q14" s="3" t="n">
        <v>0</v>
      </c>
      <c r="R14" s="3" t="n">
        <v>0</v>
      </c>
      <c r="S14" s="3" t="inlineStr"/>
      <c r="T14" s="5" t="inlineStr"/>
      <c r="U14" s="5" t="inlineStr"/>
      <c r="V14" s="5" t="inlineStr">
        <is>
          <t>N/A</t>
        </is>
      </c>
      <c r="W14" s="3" t="inlineStr">
        <is>
          <t>N/A</t>
        </is>
      </c>
    </row>
    <row r="15">
      <c r="A15" s="3" t="inlineStr"/>
      <c r="B15" s="3" t="inlineStr">
        <is>
          <t>NGS 240404</t>
        </is>
      </c>
      <c r="C15" s="3" t="inlineStr">
        <is>
          <t>APRIL</t>
        </is>
      </c>
      <c r="D15" s="3" t="inlineStr"/>
      <c r="E15" s="3" t="inlineStr">
        <is>
          <t>Ankita</t>
        </is>
      </c>
      <c r="F15" s="3" t="inlineStr">
        <is>
          <t>Xploregen Discoveries</t>
        </is>
      </c>
      <c r="G15" s="3" t="inlineStr">
        <is>
          <t>Xploregen Discoveries</t>
        </is>
      </c>
      <c r="H15" s="3" t="inlineStr"/>
      <c r="I15" s="3" t="inlineStr"/>
      <c r="J15" s="3" t="inlineStr">
        <is>
          <t>Ready To Run Library</t>
        </is>
      </c>
      <c r="K15" s="3" t="inlineStr">
        <is>
          <t>Rtrl</t>
        </is>
      </c>
      <c r="L15" s="3" t="n">
        <v>0</v>
      </c>
      <c r="M15" s="3" t="inlineStr"/>
      <c r="N15" s="3" t="n">
        <v>168</v>
      </c>
      <c r="O15" s="3" t="inlineStr"/>
      <c r="P15" s="3" t="n">
        <v>0</v>
      </c>
      <c r="Q15" s="3" t="n">
        <v>0</v>
      </c>
      <c r="R15" s="3" t="n">
        <v>0</v>
      </c>
      <c r="S15" s="3" t="inlineStr"/>
      <c r="T15" s="5" t="inlineStr"/>
      <c r="U15" s="5" t="inlineStr"/>
      <c r="V15" s="5" t="inlineStr">
        <is>
          <t>N/A</t>
        </is>
      </c>
      <c r="W15" s="3" t="inlineStr">
        <is>
          <t>N/A</t>
        </is>
      </c>
    </row>
    <row r="16">
      <c r="A16" s="3" t="inlineStr"/>
      <c r="B16" s="3" t="inlineStr">
        <is>
          <t>NGS 240404</t>
        </is>
      </c>
      <c r="C16" s="3" t="inlineStr">
        <is>
          <t>APRIL</t>
        </is>
      </c>
      <c r="D16" s="3" t="inlineStr"/>
      <c r="E16" s="3" t="inlineStr">
        <is>
          <t>Ankita</t>
        </is>
      </c>
      <c r="F16" s="3" t="inlineStr">
        <is>
          <t>Xploregen Discoveries</t>
        </is>
      </c>
      <c r="G16" s="3" t="inlineStr">
        <is>
          <t>Xploregen Discoveries</t>
        </is>
      </c>
      <c r="H16" s="3" t="inlineStr"/>
      <c r="I16" s="3" t="inlineStr"/>
      <c r="J16" s="3" t="inlineStr">
        <is>
          <t>Library Qc</t>
        </is>
      </c>
      <c r="K16" s="3" t="inlineStr">
        <is>
          <t>Library Qc</t>
        </is>
      </c>
      <c r="L16" s="3" t="n">
        <v>3</v>
      </c>
      <c r="M16" s="3" t="inlineStr"/>
      <c r="N16" s="3" t="n">
        <v>0</v>
      </c>
      <c r="O16" s="3" t="inlineStr"/>
      <c r="P16" s="3" t="n">
        <v>0</v>
      </c>
      <c r="Q16" s="3" t="n">
        <v>0</v>
      </c>
      <c r="R16" s="3" t="n">
        <v>0</v>
      </c>
      <c r="S16" s="3" t="inlineStr"/>
      <c r="T16" s="5" t="inlineStr"/>
      <c r="U16" s="5" t="inlineStr"/>
      <c r="V16" s="5" t="inlineStr">
        <is>
          <t>N/A</t>
        </is>
      </c>
      <c r="W16" s="3" t="inlineStr">
        <is>
          <t>N/A</t>
        </is>
      </c>
    </row>
    <row r="17">
      <c r="A17" s="3" t="inlineStr"/>
      <c r="B17" s="3" t="inlineStr">
        <is>
          <t>NGS 240405</t>
        </is>
      </c>
      <c r="C17" s="3" t="inlineStr">
        <is>
          <t>APRIL</t>
        </is>
      </c>
      <c r="D17" s="3" t="inlineStr"/>
      <c r="E17" s="3" t="inlineStr">
        <is>
          <t>Dr.Dhruv Pahwa</t>
        </is>
      </c>
      <c r="F17" s="3" t="inlineStr">
        <is>
          <t>IIT Roorkee</t>
        </is>
      </c>
      <c r="G17" s="3" t="inlineStr">
        <is>
          <t>IIT Roorkee</t>
        </is>
      </c>
      <c r="H17" s="3" t="inlineStr"/>
      <c r="I17" s="3" t="inlineStr"/>
      <c r="J17" s="3" t="inlineStr">
        <is>
          <t>Whole Genome Sequencing On Illumina</t>
        </is>
      </c>
      <c r="K17" s="3" t="inlineStr">
        <is>
          <t>N/A</t>
        </is>
      </c>
      <c r="L17" s="3" t="n">
        <v>1</v>
      </c>
      <c r="M17" s="3" t="inlineStr"/>
      <c r="N17" s="3" t="n">
        <v>2</v>
      </c>
      <c r="O17" s="3" t="inlineStr"/>
      <c r="P17" s="3" t="n">
        <v>0</v>
      </c>
      <c r="Q17" s="3" t="n">
        <v>0</v>
      </c>
      <c r="R17" s="3" t="n">
        <v>0</v>
      </c>
      <c r="S17" s="3" t="inlineStr"/>
      <c r="T17" s="5" t="inlineStr"/>
      <c r="U17" s="5" t="inlineStr"/>
      <c r="V17" s="5" t="inlineStr">
        <is>
          <t>N/A</t>
        </is>
      </c>
      <c r="W17" s="3" t="inlineStr">
        <is>
          <t>N/A</t>
        </is>
      </c>
    </row>
    <row r="18">
      <c r="A18" s="3" t="inlineStr"/>
      <c r="B18" s="3" t="inlineStr">
        <is>
          <t>NGS 240406</t>
        </is>
      </c>
      <c r="C18" s="3" t="inlineStr">
        <is>
          <t>APRIL</t>
        </is>
      </c>
      <c r="D18" s="3" t="inlineStr"/>
      <c r="E18" s="3" t="inlineStr">
        <is>
          <t>Dr. Mary Kiran</t>
        </is>
      </c>
      <c r="F18" s="3" t="inlineStr">
        <is>
          <t>Sriher</t>
        </is>
      </c>
      <c r="G18" s="3" t="inlineStr">
        <is>
          <t>Sriher</t>
        </is>
      </c>
      <c r="H18" s="3" t="inlineStr"/>
      <c r="I18" s="3" t="inlineStr"/>
      <c r="J18" s="3" t="inlineStr">
        <is>
          <t>Whole Genome Sequencing &amp; Analysis On Illumina</t>
        </is>
      </c>
      <c r="K18" s="3" t="inlineStr">
        <is>
          <t>Wggg</t>
        </is>
      </c>
      <c r="L18" s="3" t="n">
        <v>1</v>
      </c>
      <c r="M18" s="3" t="inlineStr"/>
      <c r="N18" s="3" t="n">
        <v>6</v>
      </c>
      <c r="O18" s="3" t="inlineStr"/>
      <c r="P18" s="3" t="n">
        <v>0</v>
      </c>
      <c r="Q18" s="3" t="n">
        <v>0</v>
      </c>
      <c r="R18" s="3" t="n">
        <v>0</v>
      </c>
      <c r="S18" s="3" t="inlineStr"/>
      <c r="T18" s="5" t="inlineStr"/>
      <c r="U18" s="5" t="inlineStr"/>
      <c r="V18" s="5" t="inlineStr">
        <is>
          <t>N/A</t>
        </is>
      </c>
      <c r="W18" s="3" t="inlineStr">
        <is>
          <t>N/A</t>
        </is>
      </c>
    </row>
    <row r="19">
      <c r="A19" s="3" t="inlineStr"/>
      <c r="B19" s="3" t="inlineStr">
        <is>
          <t>NGS 240406</t>
        </is>
      </c>
      <c r="C19" s="3" t="inlineStr">
        <is>
          <t>APRIL</t>
        </is>
      </c>
      <c r="D19" s="3" t="inlineStr"/>
      <c r="E19" s="3" t="inlineStr">
        <is>
          <t>Dr. Mary Kiran</t>
        </is>
      </c>
      <c r="F19" s="3" t="inlineStr">
        <is>
          <t>Sriher</t>
        </is>
      </c>
      <c r="G19" s="3" t="inlineStr">
        <is>
          <t>Sriher</t>
        </is>
      </c>
      <c r="H19" s="3" t="inlineStr"/>
      <c r="I19" s="3" t="inlineStr"/>
      <c r="J19" s="3" t="inlineStr">
        <is>
          <t>Whole Genome Sequencing &amp; Analysis On Illumina</t>
        </is>
      </c>
      <c r="K19" s="3" t="inlineStr">
        <is>
          <t>Wggg</t>
        </is>
      </c>
      <c r="L19" s="3" t="n">
        <v>2</v>
      </c>
      <c r="M19" s="3" t="inlineStr"/>
      <c r="N19" s="3" t="n">
        <v>0</v>
      </c>
      <c r="O19" s="3" t="inlineStr"/>
      <c r="P19" s="3" t="n">
        <v>0</v>
      </c>
      <c r="Q19" s="3" t="n">
        <v>0</v>
      </c>
      <c r="R19" s="3" t="n">
        <v>0</v>
      </c>
      <c r="S19" s="3" t="inlineStr"/>
      <c r="T19" s="5" t="inlineStr"/>
      <c r="U19" s="5" t="inlineStr"/>
      <c r="V19" s="5" t="inlineStr">
        <is>
          <t>N/A</t>
        </is>
      </c>
      <c r="W19" s="3" t="inlineStr">
        <is>
          <t>N/A</t>
        </is>
      </c>
    </row>
    <row r="20">
      <c r="A20" s="3" t="inlineStr"/>
      <c r="B20" s="3" t="inlineStr">
        <is>
          <t>NGS 240407</t>
        </is>
      </c>
      <c r="C20" s="3" t="inlineStr">
        <is>
          <t>APRIL</t>
        </is>
      </c>
      <c r="D20" s="3" t="inlineStr"/>
      <c r="E20" s="3" t="inlineStr">
        <is>
          <t>Dr. Suceena Alexander</t>
        </is>
      </c>
      <c r="F20" s="3" t="inlineStr">
        <is>
          <t>Cmc Vellore</t>
        </is>
      </c>
      <c r="G20" s="3" t="inlineStr">
        <is>
          <t>Cmc Vellore</t>
        </is>
      </c>
      <c r="H20" s="3" t="inlineStr"/>
      <c r="I20" s="3" t="inlineStr"/>
      <c r="J20" s="3" t="inlineStr">
        <is>
          <t>Whole Exome Sequencing On Illumina</t>
        </is>
      </c>
      <c r="K20" s="3" t="inlineStr">
        <is>
          <t>Whole Exome Sequencing On</t>
        </is>
      </c>
      <c r="L20" s="3" t="n">
        <v>18</v>
      </c>
      <c r="M20" s="3" t="inlineStr"/>
      <c r="N20" s="3" t="n">
        <v>108</v>
      </c>
      <c r="O20" s="3" t="inlineStr"/>
      <c r="P20" s="3" t="n">
        <v>0</v>
      </c>
      <c r="Q20" s="3" t="n">
        <v>0</v>
      </c>
      <c r="R20" s="3" t="n">
        <v>0</v>
      </c>
      <c r="S20" s="3" t="inlineStr"/>
      <c r="T20" s="5" t="inlineStr"/>
      <c r="U20" s="5" t="inlineStr"/>
      <c r="V20" s="5" t="inlineStr">
        <is>
          <t>N/A</t>
        </is>
      </c>
      <c r="W20" s="3" t="inlineStr">
        <is>
          <t>N/A</t>
        </is>
      </c>
    </row>
    <row r="21">
      <c r="A21" s="3" t="inlineStr"/>
      <c r="B21" s="3" t="inlineStr">
        <is>
          <t>NGS 240408</t>
        </is>
      </c>
      <c r="C21" s="3" t="inlineStr">
        <is>
          <t>APRIL</t>
        </is>
      </c>
      <c r="D21" s="3" t="inlineStr"/>
      <c r="E21" s="3" t="inlineStr">
        <is>
          <t>Sudharson Narayanan</t>
        </is>
      </c>
      <c r="F21" s="3" t="inlineStr">
        <is>
          <t>Symbiont Life Sciences</t>
        </is>
      </c>
      <c r="G21" s="3" t="inlineStr">
        <is>
          <t>Symbiont Life Sciences</t>
        </is>
      </c>
      <c r="H21" s="3" t="inlineStr"/>
      <c r="I21" s="3" t="inlineStr"/>
      <c r="J21" s="3" t="inlineStr">
        <is>
          <t>Mitochondrial Genome Sequencing &amp; Analysis On Illumina Platforms</t>
        </is>
      </c>
      <c r="K21" s="3" t="inlineStr">
        <is>
          <t>N/A</t>
        </is>
      </c>
      <c r="L21" s="3" t="n">
        <v>1</v>
      </c>
      <c r="M21" s="3" t="inlineStr"/>
      <c r="N21" s="3" t="n">
        <v>3</v>
      </c>
      <c r="O21" s="3" t="inlineStr"/>
      <c r="P21" s="3" t="n">
        <v>0</v>
      </c>
      <c r="Q21" s="3" t="n">
        <v>0</v>
      </c>
      <c r="R21" s="3" t="n">
        <v>0</v>
      </c>
      <c r="S21" s="3" t="inlineStr"/>
      <c r="T21" s="5" t="inlineStr"/>
      <c r="U21" s="5" t="inlineStr"/>
      <c r="V21" s="5" t="inlineStr">
        <is>
          <t>N/A</t>
        </is>
      </c>
      <c r="W21" s="3" t="inlineStr">
        <is>
          <t>N/A</t>
        </is>
      </c>
    </row>
    <row r="22">
      <c r="A22" s="3" t="inlineStr"/>
      <c r="B22" s="3" t="inlineStr">
        <is>
          <t>NGS 240409</t>
        </is>
      </c>
      <c r="C22" s="3" t="inlineStr">
        <is>
          <t>APRIL</t>
        </is>
      </c>
      <c r="D22" s="3" t="inlineStr"/>
      <c r="E22" s="3" t="inlineStr">
        <is>
          <t>Dr. V. Balaji</t>
        </is>
      </c>
      <c r="F22" s="3" t="inlineStr">
        <is>
          <t>Cmc Vellore</t>
        </is>
      </c>
      <c r="G22" s="3" t="inlineStr">
        <is>
          <t>Cmc Vellore</t>
        </is>
      </c>
      <c r="H22" s="3" t="inlineStr"/>
      <c r="I22" s="3" t="inlineStr"/>
      <c r="J22" s="3" t="inlineStr">
        <is>
          <t>Whole Genome Sequencing On Illumina Novaseq 6000 Platforms</t>
        </is>
      </c>
      <c r="K22" s="3" t="inlineStr">
        <is>
          <t>Whole Genome Sequencing On Illumina</t>
        </is>
      </c>
      <c r="L22" s="3" t="n">
        <v>282</v>
      </c>
      <c r="M22" s="3" t="inlineStr"/>
      <c r="N22" s="3" t="n">
        <v>282</v>
      </c>
      <c r="O22" s="3" t="inlineStr"/>
      <c r="P22" s="3" t="n">
        <v>0</v>
      </c>
      <c r="Q22" s="3" t="n">
        <v>0</v>
      </c>
      <c r="R22" s="3" t="n">
        <v>0</v>
      </c>
      <c r="S22" s="3" t="inlineStr"/>
      <c r="T22" s="5" t="inlineStr"/>
      <c r="U22" s="5" t="inlineStr"/>
      <c r="V22" s="5" t="inlineStr">
        <is>
          <t>N/A</t>
        </is>
      </c>
      <c r="W22" s="3" t="inlineStr">
        <is>
          <t>N/A</t>
        </is>
      </c>
    </row>
    <row r="23">
      <c r="A23" s="3" t="inlineStr"/>
      <c r="B23" s="3" t="inlineStr">
        <is>
          <t>NGS 240410</t>
        </is>
      </c>
      <c r="C23" s="3" t="inlineStr">
        <is>
          <t>APRIL</t>
        </is>
      </c>
      <c r="D23" s="3" t="inlineStr"/>
      <c r="E23" s="3" t="inlineStr">
        <is>
          <t>Dr.Sabina</t>
        </is>
      </c>
      <c r="F23" s="3" t="inlineStr">
        <is>
          <t>Adbu</t>
        </is>
      </c>
      <c r="G23" s="3" t="inlineStr">
        <is>
          <t>Adbu</t>
        </is>
      </c>
      <c r="H23" s="3" t="inlineStr"/>
      <c r="I23" s="3" t="inlineStr"/>
      <c r="J23" s="3" t="inlineStr">
        <is>
          <t>Mrna Sequencing On Illumina</t>
        </is>
      </c>
      <c r="K23" s="3" t="inlineStr">
        <is>
          <t>N/A</t>
        </is>
      </c>
      <c r="L23" s="3" t="n">
        <v>2</v>
      </c>
      <c r="M23" s="3" t="inlineStr"/>
      <c r="N23" s="3" t="n">
        <v>12</v>
      </c>
      <c r="O23" s="3" t="inlineStr"/>
      <c r="P23" s="3" t="n">
        <v>0</v>
      </c>
      <c r="Q23" s="3" t="n">
        <v>0</v>
      </c>
      <c r="R23" s="3" t="n">
        <v>0</v>
      </c>
      <c r="S23" s="3" t="inlineStr"/>
      <c r="T23" s="5" t="inlineStr"/>
      <c r="U23" s="5" t="inlineStr"/>
      <c r="V23" s="5" t="inlineStr">
        <is>
          <t>N/A</t>
        </is>
      </c>
      <c r="W23" s="3" t="inlineStr">
        <is>
          <t>N/A</t>
        </is>
      </c>
    </row>
    <row r="24">
      <c r="A24" s="3" t="inlineStr"/>
      <c r="B24" s="3" t="inlineStr">
        <is>
          <t>NGS 240411</t>
        </is>
      </c>
      <c r="C24" s="3" t="inlineStr">
        <is>
          <t>APRIL</t>
        </is>
      </c>
      <c r="D24" s="3" t="inlineStr"/>
      <c r="E24" s="3" t="inlineStr">
        <is>
          <t>Dr. K C Pandey</t>
        </is>
      </c>
      <c r="F24" s="3" t="inlineStr">
        <is>
          <t>Icmr-Nimr</t>
        </is>
      </c>
      <c r="G24" s="3" t="inlineStr">
        <is>
          <t>Icmr-Nimr</t>
        </is>
      </c>
      <c r="H24" s="3" t="inlineStr"/>
      <c r="I24" s="3" t="inlineStr"/>
      <c r="J24" s="3" t="inlineStr">
        <is>
          <t>Whole Genome Sequencing &amp; Analysis On Illumina Platforms</t>
        </is>
      </c>
      <c r="K24" s="3" t="inlineStr">
        <is>
          <t>N/A</t>
        </is>
      </c>
      <c r="L24" s="3" t="n">
        <v>3</v>
      </c>
      <c r="M24" s="3" t="inlineStr"/>
      <c r="N24" s="3" t="n">
        <v>150</v>
      </c>
      <c r="O24" s="3" t="inlineStr"/>
      <c r="P24" s="3" t="n">
        <v>0</v>
      </c>
      <c r="Q24" s="3" t="n">
        <v>0</v>
      </c>
      <c r="R24" s="3" t="n">
        <v>0</v>
      </c>
      <c r="S24" s="3" t="inlineStr"/>
      <c r="T24" s="5" t="inlineStr"/>
      <c r="U24" s="5" t="inlineStr"/>
      <c r="V24" s="5" t="inlineStr">
        <is>
          <t>N/A</t>
        </is>
      </c>
      <c r="W24" s="3" t="inlineStr">
        <is>
          <t>N/A</t>
        </is>
      </c>
    </row>
    <row r="25">
      <c r="A25" s="3" t="inlineStr"/>
      <c r="B25" s="3" t="inlineStr">
        <is>
          <t>NGS 240412</t>
        </is>
      </c>
      <c r="C25" s="3" t="inlineStr">
        <is>
          <t>APRIL</t>
        </is>
      </c>
      <c r="D25" s="3" t="inlineStr"/>
      <c r="E25" s="3" t="inlineStr">
        <is>
          <t>Krishna Veni Harish</t>
        </is>
      </c>
      <c r="F25" s="3" t="inlineStr">
        <is>
          <t>Kau</t>
        </is>
      </c>
      <c r="G25" s="3" t="inlineStr">
        <is>
          <t>Kau</t>
        </is>
      </c>
      <c r="H25" s="3" t="inlineStr"/>
      <c r="I25" s="3" t="inlineStr"/>
      <c r="J25" s="3" t="inlineStr">
        <is>
          <t>Genotyping By Sequencing &amp; Analysis On Illumina Novaseq X Plus Platform</t>
        </is>
      </c>
      <c r="K25" s="3" t="inlineStr">
        <is>
          <t>Ggpg</t>
        </is>
      </c>
      <c r="L25" s="3" t="n">
        <v>7</v>
      </c>
      <c r="M25" s="3" t="inlineStr"/>
      <c r="N25" s="3" t="n">
        <v>7</v>
      </c>
      <c r="O25" s="3" t="inlineStr"/>
      <c r="P25" s="3" t="n">
        <v>0</v>
      </c>
      <c r="Q25" s="3" t="n">
        <v>0</v>
      </c>
      <c r="R25" s="3" t="n">
        <v>0</v>
      </c>
      <c r="S25" s="3" t="inlineStr"/>
      <c r="T25" s="5" t="inlineStr"/>
      <c r="U25" s="5" t="inlineStr"/>
      <c r="V25" s="5" t="inlineStr">
        <is>
          <t>N/A</t>
        </is>
      </c>
      <c r="W25" s="3" t="inlineStr">
        <is>
          <t>N/A</t>
        </is>
      </c>
    </row>
    <row r="26">
      <c r="A26" s="3" t="inlineStr"/>
      <c r="B26" s="3" t="inlineStr">
        <is>
          <t>NGS 240412</t>
        </is>
      </c>
      <c r="C26" s="3" t="inlineStr">
        <is>
          <t>APRIL</t>
        </is>
      </c>
      <c r="D26" s="3" t="inlineStr"/>
      <c r="E26" s="3" t="inlineStr">
        <is>
          <t>Krishna Veni Harish</t>
        </is>
      </c>
      <c r="F26" s="3" t="inlineStr">
        <is>
          <t>Kau</t>
        </is>
      </c>
      <c r="G26" s="3" t="inlineStr">
        <is>
          <t>Kau</t>
        </is>
      </c>
      <c r="H26" s="3" t="inlineStr"/>
      <c r="I26" s="3" t="inlineStr"/>
      <c r="J26" s="3" t="inlineStr">
        <is>
          <t>Genotyping By Sequencing &amp; Analysis On Illumina Novaseq X Plus Platform</t>
        </is>
      </c>
      <c r="K26" s="3" t="inlineStr">
        <is>
          <t>Ggpg</t>
        </is>
      </c>
      <c r="L26" s="3" t="n">
        <v>8</v>
      </c>
      <c r="M26" s="3" t="inlineStr"/>
      <c r="N26" s="3" t="n">
        <v>8</v>
      </c>
      <c r="O26" s="3" t="inlineStr"/>
      <c r="P26" s="3" t="n">
        <v>0</v>
      </c>
      <c r="Q26" s="3" t="n">
        <v>0</v>
      </c>
      <c r="R26" s="3" t="n">
        <v>0</v>
      </c>
      <c r="S26" s="3" t="inlineStr"/>
      <c r="T26" s="5" t="inlineStr"/>
      <c r="U26" s="5" t="inlineStr"/>
      <c r="V26" s="5" t="inlineStr">
        <is>
          <t>N/A</t>
        </is>
      </c>
      <c r="W26" s="3" t="inlineStr">
        <is>
          <t>N/A</t>
        </is>
      </c>
    </row>
    <row r="27">
      <c r="A27" s="3" t="inlineStr"/>
      <c r="B27" s="3" t="inlineStr">
        <is>
          <t>NGS 240413</t>
        </is>
      </c>
      <c r="C27" s="3" t="inlineStr">
        <is>
          <t>APRIL</t>
        </is>
      </c>
      <c r="D27" s="3" t="inlineStr"/>
      <c r="E27" s="3" t="inlineStr">
        <is>
          <t>Dr.Prashant Tembhare</t>
        </is>
      </c>
      <c r="F27" s="3" t="inlineStr">
        <is>
          <t>Tmc-Actrec</t>
        </is>
      </c>
      <c r="G27" s="3" t="inlineStr">
        <is>
          <t>Tmc-Actrec</t>
        </is>
      </c>
      <c r="H27" s="3" t="inlineStr"/>
      <c r="I27" s="3" t="inlineStr"/>
      <c r="J27" s="3" t="inlineStr">
        <is>
          <t>Whole Transcriptome Sequencing &amp; Analysis On Illumina Platforms</t>
        </is>
      </c>
      <c r="K27" s="3" t="inlineStr">
        <is>
          <t>N/A</t>
        </is>
      </c>
      <c r="L27" s="3" t="n">
        <v>35</v>
      </c>
      <c r="M27" s="3" t="inlineStr"/>
      <c r="N27" s="3" t="n">
        <v>390</v>
      </c>
      <c r="O27" s="3" t="inlineStr"/>
      <c r="P27" s="3" t="n">
        <v>0</v>
      </c>
      <c r="Q27" s="3" t="n">
        <v>0</v>
      </c>
      <c r="R27" s="3" t="n">
        <v>0</v>
      </c>
      <c r="S27" s="3" t="inlineStr"/>
      <c r="T27" s="5" t="inlineStr"/>
      <c r="U27" s="5" t="inlineStr"/>
      <c r="V27" s="5" t="inlineStr">
        <is>
          <t>N/A</t>
        </is>
      </c>
      <c r="W27" s="3" t="inlineStr">
        <is>
          <t>N/A</t>
        </is>
      </c>
    </row>
    <row r="28">
      <c r="A28" s="3" t="inlineStr"/>
      <c r="B28" s="3" t="inlineStr">
        <is>
          <t>NGS 240413</t>
        </is>
      </c>
      <c r="C28" s="3" t="inlineStr">
        <is>
          <t>APRIL</t>
        </is>
      </c>
      <c r="D28" s="3" t="inlineStr"/>
      <c r="E28" s="3" t="inlineStr">
        <is>
          <t>Dr.Prashant Tembhare</t>
        </is>
      </c>
      <c r="F28" s="3" t="inlineStr">
        <is>
          <t>Tmc-Actrec</t>
        </is>
      </c>
      <c r="G28" s="3" t="inlineStr">
        <is>
          <t>Tmc-Actrec</t>
        </is>
      </c>
      <c r="H28" s="3" t="inlineStr"/>
      <c r="I28" s="3" t="inlineStr"/>
      <c r="J28" s="3" t="inlineStr">
        <is>
          <t>Whole Transcriptome Sequencing &amp; Analysis On Illumina Platforms</t>
        </is>
      </c>
      <c r="K28" s="3" t="inlineStr">
        <is>
          <t>N/A</t>
        </is>
      </c>
      <c r="L28" s="3" t="n">
        <v>4</v>
      </c>
      <c r="M28" s="3" t="inlineStr"/>
      <c r="N28" s="3" t="n">
        <v>0</v>
      </c>
      <c r="O28" s="3" t="inlineStr"/>
      <c r="P28" s="3" t="n">
        <v>0</v>
      </c>
      <c r="Q28" s="3" t="n">
        <v>0</v>
      </c>
      <c r="R28" s="3" t="n">
        <v>0</v>
      </c>
      <c r="S28" s="3" t="inlineStr"/>
      <c r="T28" s="5" t="inlineStr"/>
      <c r="U28" s="5" t="inlineStr"/>
      <c r="V28" s="5" t="inlineStr">
        <is>
          <t>N/A</t>
        </is>
      </c>
      <c r="W28" s="3" t="inlineStr">
        <is>
          <t>N/A</t>
        </is>
      </c>
    </row>
    <row r="29">
      <c r="A29" s="3" t="inlineStr"/>
      <c r="B29" s="3" t="inlineStr">
        <is>
          <t>NGS 240414</t>
        </is>
      </c>
      <c r="C29" s="3" t="inlineStr">
        <is>
          <t>APRIL</t>
        </is>
      </c>
      <c r="D29" s="3" t="inlineStr"/>
      <c r="E29" s="3" t="inlineStr">
        <is>
          <t>Ankita</t>
        </is>
      </c>
      <c r="F29" s="3" t="inlineStr">
        <is>
          <t>Xploregen Discoveries</t>
        </is>
      </c>
      <c r="G29" s="3" t="inlineStr">
        <is>
          <t>Xploregen Discoveries</t>
        </is>
      </c>
      <c r="H29" s="3" t="inlineStr"/>
      <c r="I29" s="3" t="inlineStr"/>
      <c r="J29" s="3" t="inlineStr">
        <is>
          <t>Ready To Run Library</t>
        </is>
      </c>
      <c r="K29" s="3" t="inlineStr">
        <is>
          <t>Rtrl</t>
        </is>
      </c>
      <c r="L29" s="3" t="n">
        <v>0</v>
      </c>
      <c r="M29" s="3" t="inlineStr"/>
      <c r="N29" s="3" t="n">
        <v>190</v>
      </c>
      <c r="O29" s="3" t="inlineStr"/>
      <c r="P29" s="3" t="n">
        <v>0</v>
      </c>
      <c r="Q29" s="3" t="n">
        <v>0</v>
      </c>
      <c r="R29" s="3" t="n">
        <v>0</v>
      </c>
      <c r="S29" s="3" t="inlineStr"/>
      <c r="T29" s="5" t="inlineStr"/>
      <c r="U29" s="5" t="inlineStr"/>
      <c r="V29" s="5" t="inlineStr">
        <is>
          <t>N/A</t>
        </is>
      </c>
      <c r="W29" s="3" t="inlineStr">
        <is>
          <t>N/A</t>
        </is>
      </c>
    </row>
    <row r="30">
      <c r="A30" s="3" t="inlineStr"/>
      <c r="B30" s="3" t="inlineStr">
        <is>
          <t>NGS 240414</t>
        </is>
      </c>
      <c r="C30" s="3" t="inlineStr">
        <is>
          <t>APRIL</t>
        </is>
      </c>
      <c r="D30" s="3" t="inlineStr"/>
      <c r="E30" s="3" t="inlineStr">
        <is>
          <t>Ankita</t>
        </is>
      </c>
      <c r="F30" s="3" t="inlineStr">
        <is>
          <t>Xploregen Discoveries</t>
        </is>
      </c>
      <c r="G30" s="3" t="inlineStr">
        <is>
          <t>Xploregen Discoveries</t>
        </is>
      </c>
      <c r="H30" s="3" t="inlineStr"/>
      <c r="I30" s="3" t="inlineStr"/>
      <c r="J30" s="3" t="inlineStr">
        <is>
          <t>Qc</t>
        </is>
      </c>
      <c r="K30" s="3" t="inlineStr">
        <is>
          <t>Library Qc</t>
        </is>
      </c>
      <c r="L30" s="3" t="n">
        <v>3</v>
      </c>
      <c r="M30" s="3" t="inlineStr"/>
      <c r="N30" s="3" t="n">
        <v>0</v>
      </c>
      <c r="O30" s="3" t="inlineStr"/>
      <c r="P30" s="3" t="n">
        <v>0</v>
      </c>
      <c r="Q30" s="3" t="n">
        <v>0</v>
      </c>
      <c r="R30" s="3" t="n">
        <v>0</v>
      </c>
      <c r="S30" s="3" t="inlineStr"/>
      <c r="T30" s="5" t="inlineStr"/>
      <c r="U30" s="5" t="inlineStr"/>
      <c r="V30" s="5" t="inlineStr">
        <is>
          <t>N/A</t>
        </is>
      </c>
      <c r="W30" s="3" t="inlineStr">
        <is>
          <t>N/A</t>
        </is>
      </c>
    </row>
    <row r="31">
      <c r="A31" s="3" t="inlineStr"/>
      <c r="B31" s="3" t="inlineStr">
        <is>
          <t>NGS 240415</t>
        </is>
      </c>
      <c r="C31" s="3" t="inlineStr">
        <is>
          <t>APRIL</t>
        </is>
      </c>
      <c r="D31" s="3" t="inlineStr"/>
      <c r="E31" s="3" t="inlineStr">
        <is>
          <t>N/A</t>
        </is>
      </c>
      <c r="F31" s="3" t="inlineStr">
        <is>
          <t>Hester Biosciences</t>
        </is>
      </c>
      <c r="G31" s="3" t="inlineStr">
        <is>
          <t>Hester Biosciences</t>
        </is>
      </c>
      <c r="H31" s="3" t="inlineStr"/>
      <c r="I31" s="3" t="inlineStr"/>
      <c r="J31" s="3" t="inlineStr">
        <is>
          <t>Viral Whole Genome Sequencing &amp; Analysis On Illumina Novaseq X Plus Platform</t>
        </is>
      </c>
      <c r="K31" s="3" t="inlineStr">
        <is>
          <t>Wgs</t>
        </is>
      </c>
      <c r="L31" s="3" t="n">
        <v>3</v>
      </c>
      <c r="M31" s="3" t="inlineStr"/>
      <c r="N31" s="3" t="n">
        <v>12</v>
      </c>
      <c r="O31" s="3" t="inlineStr"/>
      <c r="P31" s="3" t="n">
        <v>0</v>
      </c>
      <c r="Q31" s="3" t="n">
        <v>0</v>
      </c>
      <c r="R31" s="3" t="n">
        <v>0</v>
      </c>
      <c r="S31" s="3" t="inlineStr"/>
      <c r="T31" s="5" t="inlineStr"/>
      <c r="U31" s="5" t="inlineStr"/>
      <c r="V31" s="5" t="inlineStr">
        <is>
          <t>N/A</t>
        </is>
      </c>
      <c r="W31" s="3" t="inlineStr">
        <is>
          <t>N/A</t>
        </is>
      </c>
    </row>
    <row r="32">
      <c r="A32" s="3" t="inlineStr"/>
      <c r="B32" s="3" t="inlineStr">
        <is>
          <t>NGS 240416</t>
        </is>
      </c>
      <c r="C32" s="3" t="inlineStr">
        <is>
          <t>APRIL</t>
        </is>
      </c>
      <c r="D32" s="3" t="inlineStr"/>
      <c r="E32" s="3" t="inlineStr">
        <is>
          <t>Dr.Nishat</t>
        </is>
      </c>
      <c r="F32" s="3" t="inlineStr">
        <is>
          <t>Biologia Research</t>
        </is>
      </c>
      <c r="G32" s="3" t="inlineStr">
        <is>
          <t>Biologia Research</t>
        </is>
      </c>
      <c r="H32" s="3" t="inlineStr"/>
      <c r="I32" s="3" t="inlineStr"/>
      <c r="J32" s="3" t="inlineStr">
        <is>
          <t>Metatranscriptome Sequencing On Illumina</t>
        </is>
      </c>
      <c r="K32" s="3" t="inlineStr">
        <is>
          <t>N/A</t>
        </is>
      </c>
      <c r="L32" s="3" t="n">
        <v>3</v>
      </c>
      <c r="M32" s="3" t="inlineStr"/>
      <c r="N32" s="3" t="n">
        <v>18</v>
      </c>
      <c r="O32" s="3" t="inlineStr"/>
      <c r="P32" s="3" t="n">
        <v>0</v>
      </c>
      <c r="Q32" s="3" t="n">
        <v>0</v>
      </c>
      <c r="R32" s="3" t="n">
        <v>0</v>
      </c>
      <c r="S32" s="3" t="inlineStr"/>
      <c r="T32" s="5" t="inlineStr"/>
      <c r="U32" s="5" t="inlineStr"/>
      <c r="V32" s="5" t="inlineStr">
        <is>
          <t>N/A</t>
        </is>
      </c>
      <c r="W32" s="3" t="inlineStr">
        <is>
          <t>N/A</t>
        </is>
      </c>
    </row>
    <row r="33">
      <c r="A33" s="3" t="inlineStr"/>
      <c r="B33" s="3" t="inlineStr">
        <is>
          <t>NGS 240417</t>
        </is>
      </c>
      <c r="C33" s="3" t="inlineStr">
        <is>
          <t>APRIL</t>
        </is>
      </c>
      <c r="D33" s="3" t="inlineStr"/>
      <c r="E33" s="3" t="inlineStr">
        <is>
          <t>Dr.Nishat</t>
        </is>
      </c>
      <c r="F33" s="3" t="inlineStr">
        <is>
          <t>Biologia Research</t>
        </is>
      </c>
      <c r="G33" s="3" t="inlineStr">
        <is>
          <t>Biologia Research</t>
        </is>
      </c>
      <c r="H33" s="3" t="inlineStr"/>
      <c r="I33" s="3" t="inlineStr"/>
      <c r="J33" s="3" t="inlineStr">
        <is>
          <t>Mrna Sequencing On Illumina</t>
        </is>
      </c>
      <c r="K33" s="3" t="inlineStr">
        <is>
          <t>N/A</t>
        </is>
      </c>
      <c r="L33" s="3" t="n">
        <v>26</v>
      </c>
      <c r="M33" s="3" t="inlineStr"/>
      <c r="N33" s="3" t="n">
        <v>260</v>
      </c>
      <c r="O33" s="3" t="inlineStr"/>
      <c r="P33" s="3" t="n">
        <v>0</v>
      </c>
      <c r="Q33" s="3" t="n">
        <v>0</v>
      </c>
      <c r="R33" s="3" t="n">
        <v>0</v>
      </c>
      <c r="S33" s="3" t="inlineStr"/>
      <c r="T33" s="5" t="inlineStr"/>
      <c r="U33" s="5" t="inlineStr"/>
      <c r="V33" s="5" t="inlineStr">
        <is>
          <t>N/A</t>
        </is>
      </c>
      <c r="W33" s="3" t="inlineStr">
        <is>
          <t>N/A</t>
        </is>
      </c>
    </row>
    <row r="34">
      <c r="A34" s="3" t="inlineStr"/>
      <c r="B34" s="3" t="inlineStr">
        <is>
          <t>NGS 240418</t>
        </is>
      </c>
      <c r="C34" s="3" t="inlineStr">
        <is>
          <t>APRIL</t>
        </is>
      </c>
      <c r="D34" s="3" t="inlineStr"/>
      <c r="E34" s="3" t="inlineStr">
        <is>
          <t>Sudharson Narayanan</t>
        </is>
      </c>
      <c r="F34" s="3" t="inlineStr">
        <is>
          <t>Symbiont Life Sciences</t>
        </is>
      </c>
      <c r="G34" s="3" t="inlineStr">
        <is>
          <t>Symbiont Life Sciences</t>
        </is>
      </c>
      <c r="H34" s="3" t="inlineStr"/>
      <c r="I34" s="3" t="inlineStr"/>
      <c r="J34" s="3" t="inlineStr">
        <is>
          <t>Mitochondrial Genome Sequencing &amp; Analysis On Illumina Platforms</t>
        </is>
      </c>
      <c r="K34" s="3" t="inlineStr">
        <is>
          <t>N/A</t>
        </is>
      </c>
      <c r="L34" s="3" t="n">
        <v>1</v>
      </c>
      <c r="M34" s="3" t="inlineStr"/>
      <c r="N34" s="3" t="n">
        <v>3</v>
      </c>
      <c r="O34" s="3" t="inlineStr"/>
      <c r="P34" s="3" t="n">
        <v>0</v>
      </c>
      <c r="Q34" s="3" t="n">
        <v>0</v>
      </c>
      <c r="R34" s="3" t="n">
        <v>0</v>
      </c>
      <c r="S34" s="3" t="inlineStr"/>
      <c r="T34" s="5" t="inlineStr"/>
      <c r="U34" s="5" t="inlineStr"/>
      <c r="V34" s="5" t="inlineStr">
        <is>
          <t>N/A</t>
        </is>
      </c>
      <c r="W34" s="3" t="inlineStr">
        <is>
          <t>N/A</t>
        </is>
      </c>
    </row>
    <row r="35">
      <c r="A35" s="3" t="inlineStr"/>
      <c r="B35" s="3" t="inlineStr">
        <is>
          <t>NGS 240419</t>
        </is>
      </c>
      <c r="C35" s="3" t="inlineStr">
        <is>
          <t>APRIL</t>
        </is>
      </c>
      <c r="D35" s="3" t="inlineStr"/>
      <c r="E35" s="3" t="inlineStr">
        <is>
          <t>Sudharson Narayanan</t>
        </is>
      </c>
      <c r="F35" s="3" t="inlineStr">
        <is>
          <t>Symbiont Life Sciences</t>
        </is>
      </c>
      <c r="G35" s="3" t="inlineStr">
        <is>
          <t>Symbiont Life Sciences</t>
        </is>
      </c>
      <c r="H35" s="3" t="inlineStr"/>
      <c r="I35" s="3" t="inlineStr"/>
      <c r="J35" s="3" t="inlineStr">
        <is>
          <t>Whole Genome Sequencing &amp; Analysis On Illumina Platforms</t>
        </is>
      </c>
      <c r="K35" s="3" t="inlineStr">
        <is>
          <t>N/A</t>
        </is>
      </c>
      <c r="L35" s="3" t="n">
        <v>3</v>
      </c>
      <c r="M35" s="3" t="inlineStr"/>
      <c r="N35" s="3" t="n">
        <v>225</v>
      </c>
      <c r="O35" s="3" t="inlineStr"/>
      <c r="P35" s="3" t="n">
        <v>0</v>
      </c>
      <c r="Q35" s="3" t="n">
        <v>0</v>
      </c>
      <c r="R35" s="3" t="n">
        <v>0</v>
      </c>
      <c r="S35" s="3" t="inlineStr"/>
      <c r="T35" s="5" t="inlineStr"/>
      <c r="U35" s="5" t="inlineStr"/>
      <c r="V35" s="5" t="inlineStr">
        <is>
          <t>N/A</t>
        </is>
      </c>
      <c r="W35" s="3" t="inlineStr">
        <is>
          <t>N/A</t>
        </is>
      </c>
    </row>
    <row r="36">
      <c r="A36" s="3" t="inlineStr"/>
      <c r="B36" s="3" t="inlineStr">
        <is>
          <t>NGS 240419</t>
        </is>
      </c>
      <c r="C36" s="3" t="inlineStr">
        <is>
          <t>APRIL</t>
        </is>
      </c>
      <c r="D36" s="3" t="inlineStr"/>
      <c r="E36" s="3" t="inlineStr">
        <is>
          <t>Sudharson Narayanan</t>
        </is>
      </c>
      <c r="F36" s="3" t="inlineStr">
        <is>
          <t>Symbiont Life Sciences</t>
        </is>
      </c>
      <c r="G36" s="3" t="inlineStr">
        <is>
          <t>Symbiont Life Sciences</t>
        </is>
      </c>
      <c r="H36" s="3" t="inlineStr"/>
      <c r="I36" s="3" t="inlineStr"/>
      <c r="J36" s="3" t="inlineStr">
        <is>
          <t>Whole Genome Sequencing &amp; Analysis On Illumina Platforms</t>
        </is>
      </c>
      <c r="K36" s="3" t="inlineStr">
        <is>
          <t>N/A</t>
        </is>
      </c>
      <c r="L36" s="3" t="n">
        <v>2</v>
      </c>
      <c r="M36" s="3" t="inlineStr"/>
      <c r="N36" s="3" t="n">
        <v>0</v>
      </c>
      <c r="O36" s="3" t="inlineStr"/>
      <c r="P36" s="3" t="n">
        <v>0</v>
      </c>
      <c r="Q36" s="3" t="n">
        <v>0</v>
      </c>
      <c r="R36" s="3" t="n">
        <v>0</v>
      </c>
      <c r="S36" s="3" t="inlineStr"/>
      <c r="T36" s="5" t="inlineStr"/>
      <c r="U36" s="5" t="inlineStr"/>
      <c r="V36" s="5" t="inlineStr">
        <is>
          <t>N/A</t>
        </is>
      </c>
      <c r="W36" s="3" t="inlineStr">
        <is>
          <t>N/A</t>
        </is>
      </c>
    </row>
    <row r="37">
      <c r="A37" s="3" t="inlineStr"/>
      <c r="B37" s="3" t="inlineStr">
        <is>
          <t>NGS 240420</t>
        </is>
      </c>
      <c r="C37" s="3" t="inlineStr">
        <is>
          <t>APRIL</t>
        </is>
      </c>
      <c r="D37" s="3" t="inlineStr"/>
      <c r="E37" s="3" t="inlineStr">
        <is>
          <t>Dr. Sheenam Garg</t>
        </is>
      </c>
      <c r="F37" s="3" t="inlineStr">
        <is>
          <t>Pgimer</t>
        </is>
      </c>
      <c r="G37" s="3" t="inlineStr">
        <is>
          <t>Pgimer</t>
        </is>
      </c>
      <c r="H37" s="3" t="inlineStr"/>
      <c r="I37" s="3" t="inlineStr"/>
      <c r="J37" s="3" t="inlineStr">
        <is>
          <t>Sanger Validation Services</t>
        </is>
      </c>
      <c r="K37" s="3" t="inlineStr">
        <is>
          <t>Sanger</t>
        </is>
      </c>
      <c r="L37" s="3" t="n">
        <v>3</v>
      </c>
      <c r="M37" s="3" t="inlineStr"/>
      <c r="N37" s="3" t="n">
        <v>0</v>
      </c>
      <c r="O37" s="3" t="inlineStr"/>
      <c r="P37" s="3" t="n">
        <v>0</v>
      </c>
      <c r="Q37" s="3" t="n">
        <v>0</v>
      </c>
      <c r="R37" s="3" t="n">
        <v>0</v>
      </c>
      <c r="S37" s="3" t="inlineStr"/>
      <c r="T37" s="5" t="inlineStr"/>
      <c r="U37" s="5" t="inlineStr"/>
      <c r="V37" s="5" t="inlineStr">
        <is>
          <t>N/A</t>
        </is>
      </c>
      <c r="W37" s="3" t="inlineStr">
        <is>
          <t>N/A</t>
        </is>
      </c>
    </row>
    <row r="38">
      <c r="A38" s="3" t="inlineStr"/>
      <c r="B38" s="3" t="inlineStr">
        <is>
          <t>NGS 240421</t>
        </is>
      </c>
      <c r="C38" s="3" t="inlineStr">
        <is>
          <t>APRIL</t>
        </is>
      </c>
      <c r="D38" s="3" t="inlineStr"/>
      <c r="E38" s="3" t="inlineStr">
        <is>
          <t>Dr. Sheenam Garg</t>
        </is>
      </c>
      <c r="F38" s="3" t="inlineStr">
        <is>
          <t>Pgimer</t>
        </is>
      </c>
      <c r="G38" s="3" t="inlineStr">
        <is>
          <t>Pgimer</t>
        </is>
      </c>
      <c r="H38" s="3" t="inlineStr"/>
      <c r="I38" s="3" t="inlineStr"/>
      <c r="J38" s="3" t="inlineStr">
        <is>
          <t>Targeted Gene Sequencing Using 41 Mb Capture On Illumina</t>
        </is>
      </c>
      <c r="K38" s="3" t="inlineStr">
        <is>
          <t>Egs</t>
        </is>
      </c>
      <c r="L38" s="3" t="n">
        <v>12</v>
      </c>
      <c r="M38" s="3" t="inlineStr"/>
      <c r="N38" s="3" t="n">
        <v>84</v>
      </c>
      <c r="O38" s="3" t="inlineStr"/>
      <c r="P38" s="3" t="n">
        <v>0</v>
      </c>
      <c r="Q38" s="3" t="n">
        <v>0</v>
      </c>
      <c r="R38" s="3" t="n">
        <v>0</v>
      </c>
      <c r="S38" s="3" t="inlineStr"/>
      <c r="T38" s="5" t="inlineStr"/>
      <c r="U38" s="5" t="inlineStr"/>
      <c r="V38" s="5" t="inlineStr">
        <is>
          <t>N/A</t>
        </is>
      </c>
      <c r="W38" s="3" t="inlineStr">
        <is>
          <t>N/A</t>
        </is>
      </c>
    </row>
    <row r="39">
      <c r="A39" s="3" t="inlineStr"/>
      <c r="B39" s="3" t="inlineStr">
        <is>
          <t>NGS 240422</t>
        </is>
      </c>
      <c r="C39" s="3" t="inlineStr">
        <is>
          <t>APRIL</t>
        </is>
      </c>
      <c r="D39" s="3" t="inlineStr"/>
      <c r="E39" s="3" t="inlineStr">
        <is>
          <t>Mr. Manikandan S</t>
        </is>
      </c>
      <c r="F39" s="3" t="inlineStr">
        <is>
          <t>Genurem Biosciences Llp</t>
        </is>
      </c>
      <c r="G39" s="3" t="inlineStr">
        <is>
          <t>Genurem Biosciences Llp</t>
        </is>
      </c>
      <c r="H39" s="3" t="inlineStr"/>
      <c r="I39" s="3" t="inlineStr"/>
      <c r="J39" s="3" t="inlineStr">
        <is>
          <t>16S Metagenome V3-V4 Sequencing &amp; Analysis On Illumina Platform</t>
        </is>
      </c>
      <c r="K39" s="3" t="inlineStr">
        <is>
          <t>1Gtg</t>
        </is>
      </c>
      <c r="L39" s="3" t="n">
        <v>4</v>
      </c>
      <c r="M39" s="3" t="inlineStr"/>
      <c r="N39" s="3" t="n">
        <v>0</v>
      </c>
      <c r="O39" s="3" t="inlineStr"/>
      <c r="P39" s="3" t="n">
        <v>0</v>
      </c>
      <c r="Q39" s="3" t="n">
        <v>0</v>
      </c>
      <c r="R39" s="3" t="n">
        <v>0</v>
      </c>
      <c r="S39" s="3" t="inlineStr"/>
      <c r="T39" s="5" t="inlineStr"/>
      <c r="U39" s="5" t="inlineStr"/>
      <c r="V39" s="5" t="inlineStr">
        <is>
          <t>N/A</t>
        </is>
      </c>
      <c r="W39" s="3" t="inlineStr">
        <is>
          <t>N/A</t>
        </is>
      </c>
    </row>
    <row r="40">
      <c r="A40" s="3" t="inlineStr"/>
      <c r="B40" s="3" t="inlineStr">
        <is>
          <t>NGS 240423</t>
        </is>
      </c>
      <c r="C40" s="3" t="inlineStr">
        <is>
          <t>APRIL</t>
        </is>
      </c>
      <c r="D40" s="3" t="inlineStr"/>
      <c r="E40" s="3" t="inlineStr">
        <is>
          <t>Dr. M. Senthil Kumar</t>
        </is>
      </c>
      <c r="F40" s="3" t="inlineStr">
        <is>
          <t>Iipr-ICAR, Kanpur</t>
        </is>
      </c>
      <c r="G40" s="3" t="inlineStr">
        <is>
          <t>Iipr-ICAR, Kanpur</t>
        </is>
      </c>
      <c r="H40" s="3" t="inlineStr"/>
      <c r="I40" s="3" t="inlineStr"/>
      <c r="J40" s="3" t="inlineStr">
        <is>
          <t>Transcriptome Sequencing &amp; Analysis On Illumina Novaseq X Plus Platform</t>
        </is>
      </c>
      <c r="K40" s="3" t="inlineStr">
        <is>
          <t>N/A</t>
        </is>
      </c>
      <c r="L40" s="3" t="n">
        <v>24</v>
      </c>
      <c r="M40" s="3" t="inlineStr"/>
      <c r="N40" s="3" t="n">
        <v>216</v>
      </c>
      <c r="O40" s="3" t="inlineStr"/>
      <c r="P40" s="3" t="n">
        <v>0</v>
      </c>
      <c r="Q40" s="3" t="n">
        <v>0</v>
      </c>
      <c r="R40" s="3" t="n">
        <v>0</v>
      </c>
      <c r="S40" s="3" t="inlineStr"/>
      <c r="T40" s="5" t="inlineStr"/>
      <c r="U40" s="5" t="inlineStr"/>
      <c r="V40" s="5" t="inlineStr">
        <is>
          <t>N/A</t>
        </is>
      </c>
      <c r="W40" s="3" t="inlineStr">
        <is>
          <t>N/A</t>
        </is>
      </c>
    </row>
    <row r="41">
      <c r="A41" s="3" t="inlineStr"/>
      <c r="B41" s="3" t="inlineStr">
        <is>
          <t>NGS 240425</t>
        </is>
      </c>
      <c r="C41" s="3" t="inlineStr">
        <is>
          <t>APRIL</t>
        </is>
      </c>
      <c r="D41" s="3" t="inlineStr"/>
      <c r="E41" s="3" t="inlineStr">
        <is>
          <t>Dr.Deepalika</t>
        </is>
      </c>
      <c r="F41" s="3" t="inlineStr">
        <is>
          <t>Gadvasu</t>
        </is>
      </c>
      <c r="G41" s="3" t="inlineStr">
        <is>
          <t>Gadvasu</t>
        </is>
      </c>
      <c r="H41" s="3" t="inlineStr"/>
      <c r="I41" s="3" t="inlineStr"/>
      <c r="J41" s="3" t="inlineStr">
        <is>
          <t>Whole Genome Metagenomics Sequencing On Illumina Novaseq X Plus Platform</t>
        </is>
      </c>
      <c r="K41" s="3" t="inlineStr">
        <is>
          <t>N/A</t>
        </is>
      </c>
      <c r="L41" s="3" t="n">
        <v>5</v>
      </c>
      <c r="M41" s="3" t="inlineStr"/>
      <c r="N41" s="3" t="n">
        <v>25</v>
      </c>
      <c r="O41" s="3" t="inlineStr"/>
      <c r="P41" s="3" t="n">
        <v>0</v>
      </c>
      <c r="Q41" s="3" t="n">
        <v>0</v>
      </c>
      <c r="R41" s="3" t="n">
        <v>0</v>
      </c>
      <c r="S41" s="3" t="inlineStr"/>
      <c r="T41" s="5" t="inlineStr"/>
      <c r="U41" s="5" t="inlineStr"/>
      <c r="V41" s="5" t="inlineStr">
        <is>
          <t>N/A</t>
        </is>
      </c>
      <c r="W41" s="3" t="inlineStr">
        <is>
          <t>N/A</t>
        </is>
      </c>
    </row>
    <row r="42">
      <c r="A42" s="3" t="inlineStr"/>
      <c r="B42" s="3" t="inlineStr">
        <is>
          <t>NGS 240427</t>
        </is>
      </c>
      <c r="C42" s="3" t="inlineStr">
        <is>
          <t>APRIL</t>
        </is>
      </c>
      <c r="D42" s="3" t="inlineStr"/>
      <c r="E42" s="3" t="inlineStr">
        <is>
          <t>Sudharson Narayanan</t>
        </is>
      </c>
      <c r="F42" s="3" t="inlineStr">
        <is>
          <t>Symbiont Life Sciences</t>
        </is>
      </c>
      <c r="G42" s="3" t="inlineStr">
        <is>
          <t>Symbiont Life Sciences</t>
        </is>
      </c>
      <c r="H42" s="3" t="inlineStr"/>
      <c r="I42" s="3" t="inlineStr"/>
      <c r="J42" s="3" t="inlineStr">
        <is>
          <t>Whole Exome Sequencing &amp; Analysis On Illumina Platform</t>
        </is>
      </c>
      <c r="K42" s="3" t="inlineStr">
        <is>
          <t>N/A</t>
        </is>
      </c>
      <c r="L42" s="3" t="n">
        <v>1</v>
      </c>
      <c r="M42" s="3" t="inlineStr"/>
      <c r="N42" s="3" t="n">
        <v>10</v>
      </c>
      <c r="O42" s="3" t="inlineStr"/>
      <c r="P42" s="3" t="n">
        <v>0</v>
      </c>
      <c r="Q42" s="3" t="n">
        <v>0</v>
      </c>
      <c r="R42" s="3" t="n">
        <v>0</v>
      </c>
      <c r="S42" s="3" t="inlineStr"/>
      <c r="T42" s="5" t="inlineStr"/>
      <c r="U42" s="5" t="inlineStr"/>
      <c r="V42" s="5" t="inlineStr">
        <is>
          <t>N/A</t>
        </is>
      </c>
      <c r="W42" s="3" t="inlineStr">
        <is>
          <t>N/A</t>
        </is>
      </c>
    </row>
    <row r="43">
      <c r="A43" s="3" t="inlineStr"/>
      <c r="B43" s="3" t="inlineStr">
        <is>
          <t>NGS 240428</t>
        </is>
      </c>
      <c r="C43" s="3" t="inlineStr">
        <is>
          <t>APRIL</t>
        </is>
      </c>
      <c r="D43" s="3" t="inlineStr"/>
      <c r="E43" s="3" t="inlineStr">
        <is>
          <t>Dr Ashutosh Pandey</t>
        </is>
      </c>
      <c r="F43" s="3" t="inlineStr">
        <is>
          <t>Nipgr</t>
        </is>
      </c>
      <c r="G43" s="3" t="inlineStr">
        <is>
          <t>Nipgr</t>
        </is>
      </c>
      <c r="H43" s="3" t="inlineStr"/>
      <c r="I43" s="3" t="inlineStr"/>
      <c r="J43" s="3" t="inlineStr">
        <is>
          <t>Whole Transcriptome Sequencing &amp; Analysis On Illumina Novaseq X Plus Platform</t>
        </is>
      </c>
      <c r="K43" s="3" t="inlineStr">
        <is>
          <t>Wgtg</t>
        </is>
      </c>
      <c r="L43" s="3" t="n">
        <v>3</v>
      </c>
      <c r="M43" s="3" t="inlineStr"/>
      <c r="N43" s="3" t="n">
        <v>45</v>
      </c>
      <c r="O43" s="3" t="inlineStr"/>
      <c r="P43" s="3" t="n">
        <v>0</v>
      </c>
      <c r="Q43" s="3" t="n">
        <v>0</v>
      </c>
      <c r="R43" s="3" t="n">
        <v>0</v>
      </c>
      <c r="S43" s="3" t="inlineStr"/>
      <c r="T43" s="5" t="inlineStr"/>
      <c r="U43" s="5" t="inlineStr"/>
      <c r="V43" s="5" t="inlineStr">
        <is>
          <t>N/A</t>
        </is>
      </c>
      <c r="W43" s="3" t="inlineStr">
        <is>
          <t>N/A</t>
        </is>
      </c>
    </row>
    <row r="44">
      <c r="A44" s="3" t="inlineStr"/>
      <c r="B44" s="3" t="inlineStr">
        <is>
          <t>NGS 240428</t>
        </is>
      </c>
      <c r="C44" s="3" t="inlineStr">
        <is>
          <t>APRIL</t>
        </is>
      </c>
      <c r="D44" s="3" t="inlineStr"/>
      <c r="E44" s="3" t="inlineStr">
        <is>
          <t>Dr Ashutosh Pandey</t>
        </is>
      </c>
      <c r="F44" s="3" t="inlineStr">
        <is>
          <t>Nipgr</t>
        </is>
      </c>
      <c r="G44" s="3" t="inlineStr">
        <is>
          <t>Nipgr</t>
        </is>
      </c>
      <c r="H44" s="3" t="inlineStr"/>
      <c r="I44" s="3" t="inlineStr"/>
      <c r="J44" s="3" t="inlineStr">
        <is>
          <t>Whole Transcriptome Sequencing &amp; Analysis On Illumina Novaseq X Plus Platform</t>
        </is>
      </c>
      <c r="K44" s="3" t="inlineStr">
        <is>
          <t>Wgtg</t>
        </is>
      </c>
      <c r="L44" s="3" t="n">
        <v>6</v>
      </c>
      <c r="M44" s="3" t="inlineStr"/>
      <c r="N44" s="3" t="n">
        <v>0</v>
      </c>
      <c r="O44" s="3" t="inlineStr"/>
      <c r="P44" s="3" t="n">
        <v>0</v>
      </c>
      <c r="Q44" s="3" t="n">
        <v>0</v>
      </c>
      <c r="R44" s="3" t="n">
        <v>0</v>
      </c>
      <c r="S44" s="3" t="inlineStr"/>
      <c r="T44" s="5" t="inlineStr"/>
      <c r="U44" s="5" t="inlineStr"/>
      <c r="V44" s="5" t="inlineStr">
        <is>
          <t>N/A</t>
        </is>
      </c>
      <c r="W44" s="3" t="inlineStr">
        <is>
          <t>N/A</t>
        </is>
      </c>
    </row>
    <row r="45">
      <c r="A45" s="3" t="inlineStr"/>
      <c r="B45" s="3" t="inlineStr">
        <is>
          <t>NGS 240429</t>
        </is>
      </c>
      <c r="C45" s="3" t="inlineStr">
        <is>
          <t>APRIL</t>
        </is>
      </c>
      <c r="D45" s="3" t="inlineStr"/>
      <c r="E45" s="3" t="inlineStr">
        <is>
          <t>Dr.Rani Diana Sahni</t>
        </is>
      </c>
      <c r="F45" s="3" t="inlineStr">
        <is>
          <t>Cmc Vellore</t>
        </is>
      </c>
      <c r="G45" s="3" t="inlineStr">
        <is>
          <t>Cmc Vellore</t>
        </is>
      </c>
      <c r="H45" s="3" t="inlineStr"/>
      <c r="I45" s="3" t="inlineStr"/>
      <c r="J45" s="3" t="inlineStr">
        <is>
          <t>Whole Genome Sequencing On Illumina</t>
        </is>
      </c>
      <c r="K45" s="3" t="inlineStr">
        <is>
          <t>Whole Genome Sequencing On Illumina Novaseq X</t>
        </is>
      </c>
      <c r="L45" s="3" t="n">
        <v>14</v>
      </c>
      <c r="M45" s="3" t="inlineStr"/>
      <c r="N45" s="3" t="n">
        <v>64</v>
      </c>
      <c r="O45" s="3" t="inlineStr"/>
      <c r="P45" s="3" t="n">
        <v>0</v>
      </c>
      <c r="Q45" s="3" t="n">
        <v>0</v>
      </c>
      <c r="R45" s="3" t="n">
        <v>0</v>
      </c>
      <c r="S45" s="3" t="inlineStr"/>
      <c r="T45" s="5" t="inlineStr"/>
      <c r="U45" s="5" t="inlineStr"/>
      <c r="V45" s="5" t="inlineStr">
        <is>
          <t>N/A</t>
        </is>
      </c>
      <c r="W45" s="3" t="inlineStr">
        <is>
          <t>N/A</t>
        </is>
      </c>
    </row>
    <row r="46">
      <c r="A46" s="3" t="inlineStr"/>
      <c r="B46" s="3" t="inlineStr">
        <is>
          <t>NGS 240429</t>
        </is>
      </c>
      <c r="C46" s="3" t="inlineStr">
        <is>
          <t>APRIL</t>
        </is>
      </c>
      <c r="D46" s="3" t="inlineStr"/>
      <c r="E46" s="3" t="inlineStr">
        <is>
          <t>Dr.Rani Diana Sahni</t>
        </is>
      </c>
      <c r="F46" s="3" t="inlineStr">
        <is>
          <t>Cmc Vellore</t>
        </is>
      </c>
      <c r="G46" s="3" t="inlineStr">
        <is>
          <t>Cmc Vellore</t>
        </is>
      </c>
      <c r="H46" s="3" t="inlineStr"/>
      <c r="I46" s="3" t="inlineStr"/>
      <c r="J46" s="3" t="inlineStr">
        <is>
          <t>Whole Genome Sequencing On Illumina</t>
        </is>
      </c>
      <c r="K46" s="3" t="inlineStr">
        <is>
          <t>Whole Genome Sequencing On Illumina Novaseq X</t>
        </is>
      </c>
      <c r="L46" s="3" t="n">
        <v>2</v>
      </c>
      <c r="M46" s="3" t="inlineStr"/>
      <c r="N46" s="3" t="n">
        <v>0</v>
      </c>
      <c r="O46" s="3" t="inlineStr"/>
      <c r="P46" s="3" t="n">
        <v>0</v>
      </c>
      <c r="Q46" s="3" t="n">
        <v>0</v>
      </c>
      <c r="R46" s="3" t="n">
        <v>0</v>
      </c>
      <c r="S46" s="3" t="inlineStr"/>
      <c r="T46" s="5" t="inlineStr"/>
      <c r="U46" s="5" t="inlineStr"/>
      <c r="V46" s="5" t="inlineStr">
        <is>
          <t>N/A</t>
        </is>
      </c>
      <c r="W46" s="3" t="inlineStr">
        <is>
          <t>N/A</t>
        </is>
      </c>
    </row>
    <row r="47">
      <c r="A47" s="3" t="inlineStr"/>
      <c r="B47" s="3" t="inlineStr">
        <is>
          <t>NGS 240430</t>
        </is>
      </c>
      <c r="C47" s="3" t="inlineStr">
        <is>
          <t>APRIL</t>
        </is>
      </c>
      <c r="D47" s="3" t="inlineStr"/>
      <c r="E47" s="3" t="inlineStr">
        <is>
          <t>Dr.Dillip Gore</t>
        </is>
      </c>
      <c r="F47" s="3" t="inlineStr">
        <is>
          <t>Econext Unit Of Sai Biosystems</t>
        </is>
      </c>
      <c r="G47" s="3" t="inlineStr">
        <is>
          <t>Econext Unit Of Sai Biosystems</t>
        </is>
      </c>
      <c r="H47" s="3" t="inlineStr"/>
      <c r="I47" s="3" t="inlineStr"/>
      <c r="J47" s="3" t="inlineStr">
        <is>
          <t>Low Pass Whole Genome Sequencing On Illumina</t>
        </is>
      </c>
      <c r="K47" s="3" t="inlineStr">
        <is>
          <t>Sgs</t>
        </is>
      </c>
      <c r="L47" s="3" t="n">
        <v>2</v>
      </c>
      <c r="M47" s="3" t="inlineStr"/>
      <c r="N47" s="3" t="n">
        <v>30</v>
      </c>
      <c r="O47" s="3" t="inlineStr"/>
      <c r="P47" s="3" t="n">
        <v>0</v>
      </c>
      <c r="Q47" s="3" t="n">
        <v>0</v>
      </c>
      <c r="R47" s="3" t="n">
        <v>0</v>
      </c>
      <c r="S47" s="3" t="inlineStr"/>
      <c r="T47" s="5" t="inlineStr"/>
      <c r="U47" s="5" t="inlineStr"/>
      <c r="V47" s="5" t="inlineStr">
        <is>
          <t>N/A</t>
        </is>
      </c>
      <c r="W47" s="3" t="inlineStr">
        <is>
          <t>N/A</t>
        </is>
      </c>
    </row>
    <row r="48">
      <c r="A48" s="3" t="inlineStr"/>
      <c r="B48" s="3" t="inlineStr">
        <is>
          <t>NGS 240431</t>
        </is>
      </c>
      <c r="C48" s="3" t="inlineStr">
        <is>
          <t>APRIL</t>
        </is>
      </c>
      <c r="D48" s="3" t="inlineStr"/>
      <c r="E48" s="3" t="inlineStr">
        <is>
          <t>Ankita</t>
        </is>
      </c>
      <c r="F48" s="3" t="inlineStr">
        <is>
          <t>Xploregen Discoveries</t>
        </is>
      </c>
      <c r="G48" s="3" t="inlineStr">
        <is>
          <t>Xploregen Discoveries</t>
        </is>
      </c>
      <c r="H48" s="3" t="inlineStr"/>
      <c r="I48" s="3" t="inlineStr"/>
      <c r="J48" s="3" t="inlineStr">
        <is>
          <t>Ready To Run Library</t>
        </is>
      </c>
      <c r="K48" s="3" t="inlineStr">
        <is>
          <t>Rtrl</t>
        </is>
      </c>
      <c r="L48" s="3" t="n">
        <v>0</v>
      </c>
      <c r="M48" s="3" t="inlineStr"/>
      <c r="N48" s="3" t="n">
        <v>170</v>
      </c>
      <c r="O48" s="3" t="inlineStr"/>
      <c r="P48" s="3" t="n">
        <v>0</v>
      </c>
      <c r="Q48" s="3" t="n">
        <v>0</v>
      </c>
      <c r="R48" s="3" t="n">
        <v>0</v>
      </c>
      <c r="S48" s="3" t="inlineStr"/>
      <c r="T48" s="5" t="inlineStr"/>
      <c r="U48" s="5" t="inlineStr"/>
      <c r="V48" s="5" t="inlineStr">
        <is>
          <t>N/A</t>
        </is>
      </c>
      <c r="W48" s="3" t="inlineStr">
        <is>
          <t>N/A</t>
        </is>
      </c>
    </row>
    <row r="49">
      <c r="A49" s="3" t="inlineStr"/>
      <c r="B49" s="3" t="inlineStr">
        <is>
          <t>NGS 240431</t>
        </is>
      </c>
      <c r="C49" s="3" t="inlineStr">
        <is>
          <t>APRIL</t>
        </is>
      </c>
      <c r="D49" s="3" t="inlineStr"/>
      <c r="E49" s="3" t="inlineStr">
        <is>
          <t>Ankita</t>
        </is>
      </c>
      <c r="F49" s="3" t="inlineStr">
        <is>
          <t>Xploregen Discoveries</t>
        </is>
      </c>
      <c r="G49" s="3" t="inlineStr">
        <is>
          <t>Xploregen Discoveries</t>
        </is>
      </c>
      <c r="H49" s="3" t="inlineStr"/>
      <c r="I49" s="3" t="inlineStr"/>
      <c r="J49" s="3" t="inlineStr">
        <is>
          <t>Qc</t>
        </is>
      </c>
      <c r="K49" s="3" t="inlineStr">
        <is>
          <t>Library Qc</t>
        </is>
      </c>
      <c r="L49" s="3" t="n">
        <v>3</v>
      </c>
      <c r="M49" s="3" t="inlineStr"/>
      <c r="N49" s="3" t="n">
        <v>0</v>
      </c>
      <c r="O49" s="3" t="inlineStr"/>
      <c r="P49" s="3" t="n">
        <v>0</v>
      </c>
      <c r="Q49" s="3" t="n">
        <v>0</v>
      </c>
      <c r="R49" s="3" t="n">
        <v>0</v>
      </c>
      <c r="S49" s="3" t="inlineStr"/>
      <c r="T49" s="5" t="inlineStr"/>
      <c r="U49" s="5" t="inlineStr"/>
      <c r="V49" s="5" t="inlineStr">
        <is>
          <t>N/A</t>
        </is>
      </c>
      <c r="W49" s="3" t="inlineStr">
        <is>
          <t>N/A</t>
        </is>
      </c>
    </row>
    <row r="50">
      <c r="A50" s="3" t="inlineStr"/>
      <c r="B50" s="3" t="inlineStr">
        <is>
          <t>NGS 240432</t>
        </is>
      </c>
      <c r="C50" s="3" t="inlineStr">
        <is>
          <t>APRIL</t>
        </is>
      </c>
      <c r="D50" s="3" t="inlineStr"/>
      <c r="E50" s="3" t="inlineStr">
        <is>
          <t>Dr. Bhoj Kumar Acharya</t>
        </is>
      </c>
      <c r="F50" s="3" t="inlineStr">
        <is>
          <t>Sikkim University</t>
        </is>
      </c>
      <c r="G50" s="3" t="inlineStr">
        <is>
          <t>Sikkim University</t>
        </is>
      </c>
      <c r="H50" s="3" t="inlineStr"/>
      <c r="I50" s="3" t="inlineStr"/>
      <c r="J50" s="3" t="inlineStr">
        <is>
          <t>Whole Transcriptome Sequencing &amp; Analysis On Illumina Platforms</t>
        </is>
      </c>
      <c r="K50" s="3" t="inlineStr">
        <is>
          <t>N/A</t>
        </is>
      </c>
      <c r="L50" s="3" t="n">
        <v>4</v>
      </c>
      <c r="M50" s="3" t="inlineStr"/>
      <c r="N50" s="3" t="n">
        <v>28</v>
      </c>
      <c r="O50" s="3" t="inlineStr"/>
      <c r="P50" s="3" t="n">
        <v>0</v>
      </c>
      <c r="Q50" s="3" t="n">
        <v>0</v>
      </c>
      <c r="R50" s="3" t="n">
        <v>0</v>
      </c>
      <c r="S50" s="3" t="inlineStr"/>
      <c r="T50" s="5" t="inlineStr"/>
      <c r="U50" s="5" t="inlineStr"/>
      <c r="V50" s="5" t="inlineStr">
        <is>
          <t>N/A</t>
        </is>
      </c>
      <c r="W50" s="3" t="inlineStr">
        <is>
          <t>N/A</t>
        </is>
      </c>
    </row>
    <row r="51">
      <c r="A51" s="3" t="inlineStr"/>
      <c r="B51" s="3" t="inlineStr">
        <is>
          <t>NGS 240433</t>
        </is>
      </c>
      <c r="C51" s="3" t="inlineStr">
        <is>
          <t>APRIL</t>
        </is>
      </c>
      <c r="D51" s="3" t="inlineStr"/>
      <c r="E51" s="3" t="inlineStr">
        <is>
          <t>Dr.Samson Mani</t>
        </is>
      </c>
      <c r="F51" s="3" t="inlineStr">
        <is>
          <t>Cancer Institute (Wia)</t>
        </is>
      </c>
      <c r="G51" s="3" t="inlineStr">
        <is>
          <t>Cancer Institute (Wia)</t>
        </is>
      </c>
      <c r="H51" s="3" t="inlineStr"/>
      <c r="I51" s="3" t="inlineStr"/>
      <c r="J51" s="3" t="inlineStr">
        <is>
          <t>Whole Exome Sequencing On Illumina Novaseq X Plus Platform</t>
        </is>
      </c>
      <c r="K51" s="3" t="inlineStr">
        <is>
          <t>N/A</t>
        </is>
      </c>
      <c r="L51" s="3" t="n">
        <v>12</v>
      </c>
      <c r="M51" s="3" t="inlineStr"/>
      <c r="N51" s="3" t="n">
        <v>120</v>
      </c>
      <c r="O51" s="3" t="inlineStr"/>
      <c r="P51" s="3" t="n">
        <v>0</v>
      </c>
      <c r="Q51" s="3" t="n">
        <v>0</v>
      </c>
      <c r="R51" s="3" t="n">
        <v>0</v>
      </c>
      <c r="S51" s="3" t="inlineStr"/>
      <c r="T51" s="5" t="inlineStr"/>
      <c r="U51" s="5" t="inlineStr"/>
      <c r="V51" s="5" t="inlineStr">
        <is>
          <t>N/A</t>
        </is>
      </c>
      <c r="W51" s="3" t="inlineStr">
        <is>
          <t>N/A</t>
        </is>
      </c>
    </row>
    <row r="52">
      <c r="A52" s="3" t="inlineStr"/>
      <c r="B52" s="3" t="inlineStr">
        <is>
          <t>NGS 240434</t>
        </is>
      </c>
      <c r="C52" s="3" t="inlineStr">
        <is>
          <t>APRIL</t>
        </is>
      </c>
      <c r="D52" s="3" t="inlineStr"/>
      <c r="E52" s="3" t="inlineStr">
        <is>
          <t>Dr.Samson Mani</t>
        </is>
      </c>
      <c r="F52" s="3" t="inlineStr">
        <is>
          <t>Cancer Institute (Wia)</t>
        </is>
      </c>
      <c r="G52" s="3" t="inlineStr">
        <is>
          <t>Cancer Institute (Wia)</t>
        </is>
      </c>
      <c r="H52" s="3" t="inlineStr"/>
      <c r="I52" s="3" t="inlineStr"/>
      <c r="J52" s="3" t="inlineStr">
        <is>
          <t>Transcriptome Sequencing On Illumina Platforms</t>
        </is>
      </c>
      <c r="K52" s="3" t="inlineStr">
        <is>
          <t>N/A</t>
        </is>
      </c>
      <c r="L52" s="3" t="n">
        <v>12</v>
      </c>
      <c r="M52" s="3" t="inlineStr"/>
      <c r="N52" s="3" t="n">
        <v>360</v>
      </c>
      <c r="O52" s="3" t="inlineStr"/>
      <c r="P52" s="3" t="n">
        <v>0</v>
      </c>
      <c r="Q52" s="3" t="n">
        <v>0</v>
      </c>
      <c r="R52" s="3" t="n">
        <v>0</v>
      </c>
      <c r="S52" s="3" t="inlineStr"/>
      <c r="T52" s="5" t="inlineStr"/>
      <c r="U52" s="5" t="inlineStr"/>
      <c r="V52" s="5" t="inlineStr">
        <is>
          <t>N/A</t>
        </is>
      </c>
      <c r="W52" s="3" t="inlineStr">
        <is>
          <t>N/A</t>
        </is>
      </c>
    </row>
    <row r="53">
      <c r="A53" s="3" t="inlineStr"/>
      <c r="B53" s="3" t="inlineStr">
        <is>
          <t>NGS 240435</t>
        </is>
      </c>
      <c r="C53" s="3" t="inlineStr">
        <is>
          <t>APRIL</t>
        </is>
      </c>
      <c r="D53" s="3" t="inlineStr"/>
      <c r="E53" s="3" t="inlineStr">
        <is>
          <t>Dr. Pritha Bhattacharjee</t>
        </is>
      </c>
      <c r="F53" s="3" t="inlineStr">
        <is>
          <t>Sctimst</t>
        </is>
      </c>
      <c r="G53" s="3" t="inlineStr">
        <is>
          <t>Sctimst</t>
        </is>
      </c>
      <c r="H53" s="3" t="inlineStr"/>
      <c r="I53" s="3" t="inlineStr"/>
      <c r="J53" s="3" t="inlineStr">
        <is>
          <t>Whole Exome Sequencing &amp; Analysis On Illumina</t>
        </is>
      </c>
      <c r="K53" s="3" t="inlineStr">
        <is>
          <t>Egs</t>
        </is>
      </c>
      <c r="L53" s="3" t="n">
        <v>12</v>
      </c>
      <c r="M53" s="3" t="inlineStr"/>
      <c r="N53" s="3" t="n">
        <v>0</v>
      </c>
      <c r="O53" s="3" t="inlineStr"/>
      <c r="P53" s="3" t="n">
        <v>0</v>
      </c>
      <c r="Q53" s="3" t="n">
        <v>0</v>
      </c>
      <c r="R53" s="3" t="n">
        <v>0</v>
      </c>
      <c r="S53" s="3" t="inlineStr"/>
      <c r="T53" s="5" t="inlineStr"/>
      <c r="U53" s="5" t="inlineStr"/>
      <c r="V53" s="5" t="inlineStr">
        <is>
          <t>N/A</t>
        </is>
      </c>
      <c r="W53" s="3" t="inlineStr">
        <is>
          <t>N/A</t>
        </is>
      </c>
    </row>
    <row r="54">
      <c r="A54" s="3" t="inlineStr"/>
      <c r="B54" s="3" t="inlineStr">
        <is>
          <t>NGS 240436</t>
        </is>
      </c>
      <c r="C54" s="3" t="inlineStr">
        <is>
          <t>APRIL</t>
        </is>
      </c>
      <c r="D54" s="3" t="inlineStr"/>
      <c r="E54" s="3" t="inlineStr">
        <is>
          <t>Sudharson Narayanan</t>
        </is>
      </c>
      <c r="F54" s="3" t="inlineStr">
        <is>
          <t>Symbiont Life Sciences</t>
        </is>
      </c>
      <c r="G54" s="3" t="inlineStr">
        <is>
          <t>Symbiont Life Sciences</t>
        </is>
      </c>
      <c r="H54" s="3" t="inlineStr"/>
      <c r="I54" s="3" t="inlineStr"/>
      <c r="J54" s="3" t="inlineStr">
        <is>
          <t>Whole Genome Sequencing &amp; Analysis On Illumina Platforms</t>
        </is>
      </c>
      <c r="K54" s="3" t="inlineStr">
        <is>
          <t>N/A</t>
        </is>
      </c>
      <c r="L54" s="3" t="n">
        <v>1</v>
      </c>
      <c r="M54" s="3" t="inlineStr"/>
      <c r="N54" s="3" t="n">
        <v>45</v>
      </c>
      <c r="O54" s="3" t="inlineStr"/>
      <c r="P54" s="3" t="n">
        <v>0</v>
      </c>
      <c r="Q54" s="3" t="n">
        <v>0</v>
      </c>
      <c r="R54" s="3" t="n">
        <v>0</v>
      </c>
      <c r="S54" s="3" t="inlineStr"/>
      <c r="T54" s="5" t="inlineStr"/>
      <c r="U54" s="5" t="inlineStr"/>
      <c r="V54" s="5" t="inlineStr">
        <is>
          <t>N/A</t>
        </is>
      </c>
      <c r="W54" s="3" t="inlineStr">
        <is>
          <t>N/A</t>
        </is>
      </c>
    </row>
    <row r="55">
      <c r="A55" s="3" t="inlineStr"/>
      <c r="B55" s="3" t="inlineStr">
        <is>
          <t>NGS 240437</t>
        </is>
      </c>
      <c r="C55" s="3" t="inlineStr">
        <is>
          <t>APRIL</t>
        </is>
      </c>
      <c r="D55" s="3" t="inlineStr"/>
      <c r="E55" s="3" t="inlineStr">
        <is>
          <t>Sudharson Narayanan</t>
        </is>
      </c>
      <c r="F55" s="3" t="inlineStr">
        <is>
          <t>Symbiont Life Sciences</t>
        </is>
      </c>
      <c r="G55" s="3" t="inlineStr">
        <is>
          <t>Symbiont Life Sciences</t>
        </is>
      </c>
      <c r="H55" s="3" t="inlineStr"/>
      <c r="I55" s="3" t="inlineStr"/>
      <c r="J55" s="3" t="inlineStr">
        <is>
          <t>Mitochondrial Genome Sequencing &amp; Analysis On Illumina Platforms</t>
        </is>
      </c>
      <c r="K55" s="3" t="inlineStr">
        <is>
          <t>N/A</t>
        </is>
      </c>
      <c r="L55" s="3" t="n">
        <v>4</v>
      </c>
      <c r="M55" s="3" t="inlineStr"/>
      <c r="N55" s="3" t="n">
        <v>12</v>
      </c>
      <c r="O55" s="3" t="inlineStr"/>
      <c r="P55" s="3" t="n">
        <v>0</v>
      </c>
      <c r="Q55" s="3" t="n">
        <v>0</v>
      </c>
      <c r="R55" s="3" t="n">
        <v>0</v>
      </c>
      <c r="S55" s="3" t="inlineStr"/>
      <c r="T55" s="5" t="inlineStr"/>
      <c r="U55" s="5" t="inlineStr"/>
      <c r="V55" s="5" t="inlineStr">
        <is>
          <t>N/A</t>
        </is>
      </c>
      <c r="W55" s="3" t="inlineStr">
        <is>
          <t>N/A</t>
        </is>
      </c>
    </row>
    <row r="56">
      <c r="A56" s="3" t="inlineStr"/>
      <c r="B56" s="3" t="inlineStr">
        <is>
          <t>NGS 240438</t>
        </is>
      </c>
      <c r="C56" s="3" t="inlineStr">
        <is>
          <t>APRIL</t>
        </is>
      </c>
      <c r="D56" s="3" t="inlineStr"/>
      <c r="E56" s="3" t="inlineStr">
        <is>
          <t>Sudharson Narayanan</t>
        </is>
      </c>
      <c r="F56" s="3" t="inlineStr">
        <is>
          <t>Symbiont Life Sciences</t>
        </is>
      </c>
      <c r="G56" s="3" t="inlineStr">
        <is>
          <t>Symbiont Life Sciences</t>
        </is>
      </c>
      <c r="H56" s="3" t="inlineStr"/>
      <c r="I56" s="3" t="inlineStr"/>
      <c r="J56" s="3" t="inlineStr">
        <is>
          <t>Bacterial Whole Genome Sequencing &amp; Analysis On Illumina</t>
        </is>
      </c>
      <c r="K56" s="3" t="inlineStr">
        <is>
          <t>Igs</t>
        </is>
      </c>
      <c r="L56" s="3" t="n">
        <v>1</v>
      </c>
      <c r="M56" s="3" t="inlineStr"/>
      <c r="N56" s="3" t="n">
        <v>3</v>
      </c>
      <c r="O56" s="3" t="inlineStr"/>
      <c r="P56" s="3" t="n">
        <v>0</v>
      </c>
      <c r="Q56" s="3" t="n">
        <v>0</v>
      </c>
      <c r="R56" s="3" t="n">
        <v>0</v>
      </c>
      <c r="S56" s="3" t="inlineStr"/>
      <c r="T56" s="5" t="inlineStr"/>
      <c r="U56" s="5" t="inlineStr"/>
      <c r="V56" s="5" t="inlineStr">
        <is>
          <t>N/A</t>
        </is>
      </c>
      <c r="W56" s="3" t="inlineStr">
        <is>
          <t>N/A</t>
        </is>
      </c>
    </row>
    <row r="57">
      <c r="A57" s="3" t="inlineStr"/>
      <c r="B57" s="3" t="inlineStr">
        <is>
          <t>NGS 240440</t>
        </is>
      </c>
      <c r="C57" s="3" t="inlineStr">
        <is>
          <t>APRIL</t>
        </is>
      </c>
      <c r="D57" s="3" t="inlineStr"/>
      <c r="E57" s="3" t="inlineStr">
        <is>
          <t>Dr. Pritha Bhattacharjee</t>
        </is>
      </c>
      <c r="F57" s="3" t="inlineStr">
        <is>
          <t>Sctimst</t>
        </is>
      </c>
      <c r="G57" s="3" t="inlineStr">
        <is>
          <t>Sctimst</t>
        </is>
      </c>
      <c r="H57" s="3" t="inlineStr"/>
      <c r="I57" s="3" t="inlineStr"/>
      <c r="J57" s="3" t="inlineStr">
        <is>
          <t>Whole Transcriptome Sequencing &amp; Analysis On Illumina Novaseq X Plus Platform</t>
        </is>
      </c>
      <c r="K57" s="3" t="inlineStr">
        <is>
          <t>Wgtg</t>
        </is>
      </c>
      <c r="L57" s="3" t="n">
        <v>8</v>
      </c>
      <c r="M57" s="3" t="inlineStr"/>
      <c r="N57" s="3" t="n">
        <v>45</v>
      </c>
      <c r="O57" s="3" t="inlineStr"/>
      <c r="P57" s="3" t="n">
        <v>0</v>
      </c>
      <c r="Q57" s="3" t="n">
        <v>0</v>
      </c>
      <c r="R57" s="3" t="n">
        <v>0</v>
      </c>
      <c r="S57" s="3" t="inlineStr"/>
      <c r="T57" s="5" t="inlineStr"/>
      <c r="U57" s="5" t="inlineStr"/>
      <c r="V57" s="5" t="inlineStr">
        <is>
          <t>N/A</t>
        </is>
      </c>
      <c r="W57" s="3" t="inlineStr">
        <is>
          <t>N/A</t>
        </is>
      </c>
    </row>
    <row r="58">
      <c r="A58" s="3" t="inlineStr"/>
      <c r="B58" s="3" t="inlineStr">
        <is>
          <t>NGS 240441</t>
        </is>
      </c>
      <c r="C58" s="3" t="inlineStr">
        <is>
          <t>APRIL</t>
        </is>
      </c>
      <c r="D58" s="3" t="inlineStr"/>
      <c r="E58" s="3" t="inlineStr">
        <is>
          <t>Dr.Nishat</t>
        </is>
      </c>
      <c r="F58" s="3" t="inlineStr">
        <is>
          <t>Biologia Research</t>
        </is>
      </c>
      <c r="G58" s="3" t="inlineStr">
        <is>
          <t>Biologia Research</t>
        </is>
      </c>
      <c r="H58" s="3" t="inlineStr"/>
      <c r="I58" s="3" t="inlineStr"/>
      <c r="J58" s="3" t="inlineStr">
        <is>
          <t>Whole Genome Sequencing On Illumina</t>
        </is>
      </c>
      <c r="K58" s="3" t="inlineStr">
        <is>
          <t>N/A</t>
        </is>
      </c>
      <c r="L58" s="3" t="n">
        <v>1</v>
      </c>
      <c r="M58" s="3" t="inlineStr"/>
      <c r="N58" s="3" t="n">
        <v>5</v>
      </c>
      <c r="O58" s="3" t="inlineStr"/>
      <c r="P58" s="3" t="n">
        <v>0</v>
      </c>
      <c r="Q58" s="3" t="n">
        <v>0</v>
      </c>
      <c r="R58" s="3" t="n">
        <v>0</v>
      </c>
      <c r="S58" s="3" t="inlineStr"/>
      <c r="T58" s="5" t="inlineStr"/>
      <c r="U58" s="5" t="inlineStr"/>
      <c r="V58" s="5" t="inlineStr">
        <is>
          <t>N/A</t>
        </is>
      </c>
      <c r="W58" s="3" t="inlineStr">
        <is>
          <t>N/A</t>
        </is>
      </c>
    </row>
    <row r="59">
      <c r="A59" s="3" t="inlineStr"/>
      <c r="B59" s="3" t="inlineStr">
        <is>
          <t>NGS 240442</t>
        </is>
      </c>
      <c r="C59" s="3" t="inlineStr">
        <is>
          <t>APRIL</t>
        </is>
      </c>
      <c r="D59" s="3" t="inlineStr"/>
      <c r="E59" s="3" t="inlineStr">
        <is>
          <t>Dr.Nishat</t>
        </is>
      </c>
      <c r="F59" s="3" t="inlineStr">
        <is>
          <t>Biologia Research</t>
        </is>
      </c>
      <c r="G59" s="3" t="inlineStr">
        <is>
          <t>Biologia Research</t>
        </is>
      </c>
      <c r="H59" s="3" t="inlineStr"/>
      <c r="I59" s="3" t="inlineStr"/>
      <c r="J59" s="3" t="inlineStr">
        <is>
          <t>Metatranscriptome Sequencing On Illumina</t>
        </is>
      </c>
      <c r="K59" s="3" t="inlineStr">
        <is>
          <t>N/A</t>
        </is>
      </c>
      <c r="L59" s="3" t="n">
        <v>6</v>
      </c>
      <c r="M59" s="3" t="inlineStr"/>
      <c r="N59" s="3" t="n">
        <v>36</v>
      </c>
      <c r="O59" s="3" t="inlineStr"/>
      <c r="P59" s="3" t="n">
        <v>0</v>
      </c>
      <c r="Q59" s="3" t="n">
        <v>0</v>
      </c>
      <c r="R59" s="3" t="n">
        <v>0</v>
      </c>
      <c r="S59" s="3" t="inlineStr"/>
      <c r="T59" s="5" t="inlineStr"/>
      <c r="U59" s="5" t="inlineStr"/>
      <c r="V59" s="5" t="inlineStr">
        <is>
          <t>N/A</t>
        </is>
      </c>
      <c r="W59" s="3" t="inlineStr">
        <is>
          <t>N/A</t>
        </is>
      </c>
    </row>
    <row r="60">
      <c r="A60" s="3" t="inlineStr"/>
      <c r="B60" s="3" t="inlineStr">
        <is>
          <t>NGS 240570</t>
        </is>
      </c>
      <c r="C60" s="3" t="inlineStr">
        <is>
          <t>APRIL</t>
        </is>
      </c>
      <c r="D60" s="3" t="inlineStr"/>
      <c r="E60" s="3" t="inlineStr">
        <is>
          <t>Dr.Prabhakar</t>
        </is>
      </c>
      <c r="F60" s="3" t="inlineStr">
        <is>
          <t>Biologia Research</t>
        </is>
      </c>
      <c r="G60" s="3" t="inlineStr">
        <is>
          <t>Biologia Research</t>
        </is>
      </c>
      <c r="H60" s="3" t="inlineStr"/>
      <c r="I60" s="3" t="inlineStr"/>
      <c r="J60" s="3" t="inlineStr">
        <is>
          <t>Medip Sequencing &amp; Analysis On Illumina Platform</t>
        </is>
      </c>
      <c r="K60" s="3" t="inlineStr">
        <is>
          <t>N/A</t>
        </is>
      </c>
      <c r="L60" s="3" t="n">
        <v>14</v>
      </c>
      <c r="M60" s="3" t="inlineStr"/>
      <c r="N60" s="3" t="n">
        <v>0</v>
      </c>
      <c r="O60" s="3" t="inlineStr"/>
      <c r="P60" s="3" t="n">
        <v>0</v>
      </c>
      <c r="Q60" s="3" t="n">
        <v>0</v>
      </c>
      <c r="R60" s="3" t="n">
        <v>0</v>
      </c>
      <c r="S60" s="3" t="inlineStr"/>
      <c r="T60" s="5" t="inlineStr"/>
      <c r="U60" s="5" t="inlineStr"/>
      <c r="V60" s="5" t="inlineStr">
        <is>
          <t>N/A</t>
        </is>
      </c>
      <c r="W60" s="3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DATA INTEGRITY SELF-CHECK</t>
        </is>
      </c>
    </row>
    <row r="3">
      <c r="A3" t="inlineStr">
        <is>
          <t>Missing Project IDs</t>
        </is>
      </c>
      <c r="B3">
        <f>COUNTBLANK('Data'!B2:B500)</f>
        <v/>
      </c>
    </row>
    <row r="4">
      <c r="A4" t="inlineStr">
        <is>
          <t>Duplicate Project IDs</t>
        </is>
      </c>
      <c r="B4">
        <f>COUNTA('Data'!B2:B500)-SUMPRODUCT(1/COUNTIF('Data'!B2:B500,'Data'!B2:B500&amp;""))</f>
        <v/>
      </c>
    </row>
    <row r="5">
      <c r="A5" t="inlineStr">
        <is>
          <t>Zero Value Projects</t>
        </is>
      </c>
      <c r="B5">
        <f>COUNTIF('Data'!V2:V500,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2026-07-28T13:07:11Z</dcterms:created>
  <dcterms:modified xmlns:dcterms="http://purl.org/dc/terms/" xmlns:xsi="http://www.w3.org/2001/XMLSchema-instance" xsi:type="dcterms:W3CDTF">2026-07-28T13:07:16Z</dcterms:modified>
</cp:coreProperties>
</file>